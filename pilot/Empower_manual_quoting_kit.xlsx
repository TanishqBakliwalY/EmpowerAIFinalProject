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omments/comment1.xml" ContentType="application/vnd.openxmlformats-officedocument.spreadsheetml.comments+xml"/>
  <Override PartName="/xl/worksheets/sheet4.xml" ContentType="application/vnd.openxmlformats-officedocument.spreadsheetml.worksheet+xml"/>
  <Override PartName="/xl/worksheets/sheet5.xml" ContentType="application/vnd.openxmlformats-officedocument.spreadsheetml.worksheet+xml"/>
  <Override PartName="/xl/comments/comment2.xml" ContentType="application/vnd.openxmlformats-officedocument.spreadsheetml.comments+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tart here" sheetId="1" state="visible" r:id="rId1"/>
    <sheet xmlns:r="http://schemas.openxmlformats.org/officeDocument/2006/relationships" name="Client request" sheetId="2" state="visible" r:id="rId2"/>
    <sheet xmlns:r="http://schemas.openxmlformats.org/officeDocument/2006/relationships" name="Quote worksheet" sheetId="3" state="visible" r:id="rId3"/>
    <sheet xmlns:r="http://schemas.openxmlformats.org/officeDocument/2006/relationships" name="Scorecard" sheetId="4" state="visible" r:id="rId4"/>
    <sheet xmlns:r="http://schemas.openxmlformats.org/officeDocument/2006/relationships" name="Rate card &amp; policy" sheetId="5" state="visible" r:id="rId5"/>
    <sheet xmlns:r="http://schemas.openxmlformats.org/officeDocument/2006/relationships" name="People &amp; availability" sheetId="6" state="visible" r:id="rId6"/>
    <sheet xmlns:r="http://schemas.openxmlformats.org/officeDocument/2006/relationships" name="Module history" sheetId="7" state="visible" r:id="rId7"/>
    <sheet xmlns:r="http://schemas.openxmlformats.org/officeDocument/2006/relationships" name="Past projects" sheetId="8" state="visible" r:id="rId8"/>
    <sheet xmlns:r="http://schemas.openxmlformats.org/officeDocument/2006/relationships" name="Past project modules" sheetId="9" state="visible" r:id="rId9"/>
  </sheets>
  <definedNames>
    <definedName name="_xlnm._FilterDatabase" localSheetId="5" hidden="1">'People &amp; availability'!$A$3:$T$57</definedName>
    <definedName name="_xlnm._FilterDatabase" localSheetId="7" hidden="1">'Past projects'!$A$3:$Q$33</definedName>
    <definedName name="_xlnm._FilterDatabase" localSheetId="8" hidden="1">'Past project modules'!$A$1:$F$621</definedName>
  </definedNames>
  <calcPr calcId="124519" fullCalcOnLoad="1"/>
</workbook>
</file>

<file path=xl/styles.xml><?xml version="1.0" encoding="utf-8"?>
<styleSheet xmlns="http://schemas.openxmlformats.org/spreadsheetml/2006/main">
  <numFmts count="7">
    <numFmt numFmtId="164" formatCode="#,##0.0"/>
    <numFmt numFmtId="165" formatCode="0%;-0%;0%"/>
    <numFmt numFmtId="166" formatCode="0.0%"/>
    <numFmt numFmtId="167" formatCode="dd mmm yyyy"/>
    <numFmt numFmtId="168" formatCode="0.0"/>
    <numFmt numFmtId="169" formatCode="0.000"/>
    <numFmt numFmtId="170" formatCode="hh:mm"/>
  </numFmts>
  <fonts count="10">
    <font>
      <name val="Calibri"/>
      <family val="2"/>
      <color theme="1"/>
      <sz val="11"/>
      <scheme val="minor"/>
    </font>
    <font>
      <name val="Arial"/>
      <b val="1"/>
      <color rgb="000A2463"/>
      <sz val="16"/>
    </font>
    <font>
      <name val="Arial"/>
      <b val="1"/>
      <color rgb="000A2463"/>
      <sz val="12"/>
    </font>
    <font>
      <name val="Arial"/>
      <sz val="10"/>
    </font>
    <font>
      <name val="Arial"/>
      <b val="1"/>
      <sz val="10"/>
    </font>
    <font>
      <name val="Arial"/>
      <sz val="11"/>
    </font>
    <font>
      <name val="Arial"/>
      <b val="1"/>
      <color rgb="00FFFFFF"/>
      <sz val="10"/>
    </font>
    <font>
      <name val="Arial"/>
      <i val="1"/>
      <color rgb="005B6B85"/>
      <sz val="9"/>
    </font>
    <font>
      <name val="Arial"/>
      <color rgb="000000FF"/>
      <sz val="10"/>
    </font>
    <font>
      <name val="Arial"/>
      <color rgb="00008000"/>
      <sz val="10"/>
    </font>
  </fonts>
  <fills count="6">
    <fill>
      <patternFill/>
    </fill>
    <fill>
      <patternFill patternType="gray125"/>
    </fill>
    <fill>
      <patternFill patternType="solid">
        <fgColor rgb="00E8F1FD"/>
      </patternFill>
    </fill>
    <fill>
      <patternFill patternType="solid">
        <fgColor rgb="00F3F5F9"/>
      </patternFill>
    </fill>
    <fill>
      <patternFill patternType="solid">
        <fgColor rgb="000A2463"/>
      </patternFill>
    </fill>
    <fill>
      <patternFill patternType="solid">
        <fgColor rgb="00FFF59D"/>
      </patternFill>
    </fill>
  </fills>
  <borders count="6">
    <border>
      <left/>
      <right/>
      <top/>
      <bottom/>
      <diagonal/>
    </border>
    <border>
      <left style="thin">
        <color rgb="00D5DEEA"/>
      </left>
      <right style="thin">
        <color rgb="00D5DEEA"/>
      </right>
      <top style="thin">
        <color rgb="00D5DEEA"/>
      </top>
      <bottom style="thin">
        <color rgb="00D5DEEA"/>
      </bottom>
    </border>
    <border>
      <left/>
      <right/>
      <top style="thin">
        <color rgb="00D5DEEA"/>
      </top>
      <bottom/>
      <diagonal/>
    </border>
    <border>
      <left/>
      <right style="thin">
        <color rgb="00D5DEEA"/>
      </right>
      <top style="thin">
        <color rgb="00D5DEEA"/>
      </top>
      <bottom/>
      <diagonal/>
    </border>
    <border>
      <left/>
      <right/>
      <top style="thin">
        <color rgb="00D5DEEA"/>
      </top>
      <bottom style="thin">
        <color rgb="00D5DEEA"/>
      </bottom>
      <diagonal/>
    </border>
    <border>
      <left/>
      <right style="thin">
        <color rgb="00D5DEEA"/>
      </right>
      <top style="thin">
        <color rgb="00D5DEEA"/>
      </top>
      <bottom style="thin">
        <color rgb="00D5DEEA"/>
      </bottom>
      <diagonal/>
    </border>
  </borders>
  <cellStyleXfs count="1">
    <xf numFmtId="0" fontId="0" fillId="0" borderId="0"/>
  </cellStyleXfs>
  <cellXfs count="46">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3" fillId="0" borderId="0" applyAlignment="1" pivotButton="0" quotePrefix="0" xfId="0">
      <alignment vertical="top" wrapText="1"/>
    </xf>
    <xf numFmtId="0" fontId="4" fillId="2" borderId="0" applyAlignment="1" pivotButton="0" quotePrefix="0" xfId="0">
      <alignment vertical="top" wrapText="1"/>
    </xf>
    <xf numFmtId="0" fontId="4" fillId="3" borderId="1" pivotButton="0" quotePrefix="0" xfId="0"/>
    <xf numFmtId="0" fontId="3" fillId="0" borderId="1" pivotButton="0" quotePrefix="0" xfId="0"/>
    <xf numFmtId="0" fontId="4" fillId="3" borderId="1" applyAlignment="1" pivotButton="0" quotePrefix="0" xfId="0">
      <alignment vertical="top" wrapText="1"/>
    </xf>
    <xf numFmtId="0" fontId="5" fillId="0" borderId="1" applyAlignment="1" pivotButton="0" quotePrefix="0" xfId="0">
      <alignment vertical="top" wrapText="1"/>
    </xf>
    <xf numFmtId="0" fontId="7" fillId="0" borderId="0" pivotButton="0" quotePrefix="0" xfId="0"/>
    <xf numFmtId="0" fontId="8" fillId="5" borderId="1" pivotButton="0" quotePrefix="0" xfId="0"/>
    <xf numFmtId="166" fontId="8" fillId="5" borderId="1" pivotButton="0" quotePrefix="0" xfId="0"/>
    <xf numFmtId="167" fontId="8" fillId="5" borderId="1" pivotButton="0" quotePrefix="0" xfId="0"/>
    <xf numFmtId="168" fontId="3" fillId="0" borderId="1" pivotButton="0" quotePrefix="0" xfId="0"/>
    <xf numFmtId="0" fontId="6" fillId="4" borderId="1" applyAlignment="1" pivotButton="0" quotePrefix="0" xfId="0">
      <alignment vertical="center" wrapText="1"/>
    </xf>
    <xf numFmtId="3" fontId="8" fillId="5" borderId="1" pivotButton="0" quotePrefix="0" xfId="0"/>
    <xf numFmtId="3" fontId="3" fillId="0" borderId="1" pivotButton="0" quotePrefix="0" xfId="0"/>
    <xf numFmtId="3" fontId="9" fillId="0" borderId="1" pivotButton="0" quotePrefix="0" xfId="0"/>
    <xf numFmtId="0" fontId="7" fillId="3" borderId="1" pivotButton="0" quotePrefix="0" xfId="0"/>
    <xf numFmtId="0" fontId="4" fillId="2" borderId="1" pivotButton="0" quotePrefix="0" xfId="0"/>
    <xf numFmtId="3" fontId="4" fillId="2" borderId="1" pivotButton="0" quotePrefix="0" xfId="0"/>
    <xf numFmtId="0" fontId="3" fillId="2" borderId="1" pivotButton="0" quotePrefix="0" xfId="0"/>
    <xf numFmtId="0" fontId="2" fillId="0" borderId="0" pivotButton="0" quotePrefix="0" xfId="0"/>
    <xf numFmtId="9" fontId="3" fillId="0" borderId="1" pivotButton="0" quotePrefix="0" xfId="0"/>
    <xf numFmtId="169" fontId="3" fillId="0" borderId="1" pivotButton="0" quotePrefix="0" xfId="0"/>
    <xf numFmtId="0" fontId="4" fillId="0" borderId="1" pivotButton="0" quotePrefix="0" xfId="0"/>
    <xf numFmtId="3" fontId="4" fillId="0" borderId="1" pivotButton="0" quotePrefix="0" xfId="0"/>
    <xf numFmtId="166" fontId="3" fillId="0" borderId="1" pivotButton="0" quotePrefix="0" xfId="0"/>
    <xf numFmtId="0" fontId="0" fillId="0" borderId="4" pivotButton="0" quotePrefix="0" xfId="0"/>
    <xf numFmtId="0" fontId="0" fillId="0" borderId="5" pivotButton="0" quotePrefix="0" xfId="0"/>
    <xf numFmtId="0" fontId="8" fillId="5" borderId="1" applyAlignment="1" pivotButton="0" quotePrefix="0" xfId="0">
      <alignment vertical="top" wrapText="1"/>
    </xf>
    <xf numFmtId="0" fontId="3" fillId="0" borderId="1" applyAlignment="1" pivotButton="0" quotePrefix="0" xfId="0">
      <alignment vertical="top" wrapText="1"/>
    </xf>
    <xf numFmtId="170" fontId="8" fillId="5" borderId="1" pivotButton="0" quotePrefix="0" xfId="0"/>
    <xf numFmtId="168" fontId="8" fillId="5" borderId="1" pivotButton="0" quotePrefix="0" xfId="0"/>
    <xf numFmtId="1" fontId="4" fillId="2" borderId="1" pivotButton="0" quotePrefix="0" xfId="0"/>
    <xf numFmtId="1" fontId="8" fillId="5" borderId="1" pivotButton="0" quotePrefix="0" xfId="0"/>
    <xf numFmtId="168" fontId="4" fillId="2" borderId="1" pivotButton="0" quotePrefix="0" xfId="0"/>
    <xf numFmtId="1" fontId="8" fillId="5" borderId="1" applyAlignment="1" pivotButton="0" quotePrefix="0" xfId="0">
      <alignment vertical="top" wrapText="1"/>
    </xf>
    <xf numFmtId="164" fontId="3" fillId="0" borderId="1" pivotButton="0" quotePrefix="0" xfId="0"/>
    <xf numFmtId="1" fontId="3" fillId="0" borderId="1" pivotButton="0" quotePrefix="0" xfId="0"/>
    <xf numFmtId="0" fontId="4" fillId="0" borderId="0" pivotButton="0" quotePrefix="0" xfId="0"/>
    <xf numFmtId="0" fontId="3" fillId="0" borderId="1" applyAlignment="1" pivotButton="0" quotePrefix="0" xfId="0">
      <alignment horizontal="center" vertical="center"/>
    </xf>
    <xf numFmtId="165" fontId="3" fillId="0" borderId="1" pivotButton="0" quotePrefix="0" xfId="0"/>
    <xf numFmtId="9" fontId="4" fillId="0" borderId="1" pivotButton="0" quotePrefix="0" xfId="0"/>
    <xf numFmtId="0" fontId="3" fillId="0" borderId="0" pivotButton="0" quotePrefix="0" xfId="0"/>
    <xf numFmtId="164"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comments/comment1.xml><?xml version="1.0" encoding="utf-8"?>
<comments xmlns="http://schemas.openxmlformats.org/spreadsheetml/2006/main">
  <authors>
    <author>Pilot kit</author>
  </authors>
  <commentList>
    <comment ref="C5" authorId="0" shapeId="0">
      <text>
        <t>USD, EUR or GBP</t>
      </text>
    </comment>
    <comment ref="C6" authorId="0" shapeId="0">
      <text>
        <t>low, medium or high: sets contingency (10% / 15% / 25%)</t>
      </text>
    </comment>
    <comment ref="C7" authorId="0" shapeId="0">
      <text>
        <t>Yes adds 10% to QA hours</t>
      </text>
    </comment>
    <comment ref="C8" authorId="0" shapeId="0">
      <text>
        <t>Type 5% (or 0.05). Over 5% needs a director; 10% is the maximum</t>
      </text>
    </comment>
    <comment ref="C9" authorId="0" shapeId="0">
      <text>
        <t>e.g. 2 Nov 2026</t>
      </text>
    </comment>
    <comment ref="C10" authorId="0" shapeId="0">
      <text>
        <t>e.g. 30 Apr 2027</t>
      </text>
    </comment>
    <comment ref="C11" authorId="0" shapeId="0">
      <text>
        <t>Yes / Yes with conditions / No</t>
      </text>
    </comment>
    <comment ref="C49" authorId="0" shapeId="0">
      <text>
        <t>Fixed price or Time &amp; materials</t>
      </text>
    </comment>
  </commentList>
</comments>
</file>

<file path=xl/comments/comment2.xml><?xml version="1.0" encoding="utf-8"?>
<comments xmlns="http://schemas.openxmlformats.org/spreadsheetml/2006/main">
  <authors>
    <author>Pilot kit</author>
  </authors>
  <commentList>
    <comment ref="G4" authorId="0" shapeId="0">
      <text>
        <t>Average loaded monthly cost of people in this role x 1.45 overhead / 160 hours (same formula the app uses). Internal only.</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5.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sheet1.xml><?xml version="1.0" encoding="utf-8"?>
<worksheet xmlns="http://schemas.openxmlformats.org/spreadsheetml/2006/main">
  <sheetPr>
    <outlinePr summaryBelow="1" summaryRight="1"/>
    <pageSetUpPr/>
  </sheetPr>
  <dimension ref="B2:B25"/>
  <sheetViews>
    <sheetView showGridLines="0" workbookViewId="0">
      <selection activeCell="A1" sqref="A1"/>
    </sheetView>
  </sheetViews>
  <sheetFormatPr baseColWidth="8" defaultRowHeight="15"/>
  <cols>
    <col width="3" customWidth="1" min="1" max="1"/>
    <col width="100" customWidth="1" min="2" max="2"/>
  </cols>
  <sheetData>
    <row r="2">
      <c r="B2" s="1" t="inlineStr">
        <is>
          <t>Empower manual quoting kit: timed pilot test</t>
        </is>
      </c>
    </row>
    <row r="4" ht="15" customHeight="1">
      <c r="B4" s="2" t="inlineStr">
        <is>
          <t>What this is</t>
        </is>
      </c>
    </row>
    <row r="5" ht="45" customHeight="1">
      <c r="B5" s="3" t="inlineStr">
        <is>
          <t>A test of the Empower Ops Agents app against the way quotes are made today. You will quote one client request twice: first by hand with this workbook, then with the app. We time both and you judge both. Your honest opinion is the point; there are no wrong answers.</t>
        </is>
      </c>
    </row>
    <row r="6" ht="30" customHeight="1">
      <c r="B6" s="3" t="inlineStr">
        <is>
          <t>All people, projects and rates here are DEMO data that look like Empower's, not real. Judge the method and the result as if they were real.</t>
        </is>
      </c>
    </row>
    <row r="8" ht="15" customHeight="1">
      <c r="B8" s="2" t="inlineStr">
        <is>
          <t>Part 1: quote it by hand (up to 40 minutes)</t>
        </is>
      </c>
    </row>
    <row r="9" ht="15" customHeight="1">
      <c r="B9" s="3" t="inlineStr">
        <is>
          <t>1. Write the start time in 'Scorecard' (cell C6) and read 'Client request'.</t>
        </is>
      </c>
    </row>
    <row r="10" ht="45" customHeight="1">
      <c r="B10" s="3" t="inlineStr">
        <is>
          <t>2. Work out the hours per role, a team and dates, and a price, the way you normally would. Fill the yellow cells in 'Quote worksheet'. It adds PM, tech lead, QA and contingency from the policy and does the price and margin sums for you.</t>
        </is>
      </c>
    </row>
    <row r="11" ht="30" customHeight="1">
      <c r="B11" s="3" t="inlineStr">
        <is>
          <t>3. Use the reference sheets as you would your own files: 'Rate card &amp; policy', 'People &amp; availability' (who is free each week), 'Module history' (what past modules actually took) and 'Past projects'.</t>
        </is>
      </c>
    </row>
    <row r="12" ht="15" customHeight="1">
      <c r="B12" s="3" t="inlineStr">
        <is>
          <t>4. Also note feasibility, the top risks and the questions you would ask the client.</t>
        </is>
      </c>
    </row>
    <row r="13" ht="30" customHeight="1">
      <c r="B13" s="3" t="inlineStr">
        <is>
          <t>5. Stop at a quote you would be willing to discuss internally, or at 40 minutes. Write the end time (C7). If you stopped early, write how long a proper quote would really take you (C8).</t>
        </is>
      </c>
    </row>
    <row r="15" ht="15" customHeight="1">
      <c r="B15" s="2" t="inlineStr">
        <is>
          <t>Part 2: the same request in the app (about 15 minutes)</t>
        </is>
      </c>
    </row>
    <row r="16" ht="30" customHeight="1">
      <c r="B16" s="3" t="inlineStr">
        <is>
          <t>6. In the app, sign in as Director, open 'New deal', click the sample PDF 'brightsmile_rfp.pdf' (same request), and press 'Run Deal Desk'. Write the start time (C10) when you press Run.</t>
        </is>
      </c>
    </row>
    <row r="17" ht="30" customHeight="1">
      <c r="B17" s="3" t="inlineStr">
        <is>
          <t>7. When it finishes (about 2-3 minutes), read the tabs Overview, Estimate, Team &amp; timeline, Pricing, Review, Proposal. Write the time when you have formed a view (C11).</t>
        </is>
      </c>
    </row>
    <row r="18" ht="30" customHeight="1">
      <c r="B18" s="3" t="inlineStr">
        <is>
          <t>8. Record your decision at the bottom of the Overview tab (Approve to send, Request changes or Reject), and fill 'Hours this quote takes by hand' and 'Draft quality (1-5)'.</t>
        </is>
      </c>
    </row>
    <row r="20" ht="15" customHeight="1">
      <c r="B20" s="2" t="inlineStr">
        <is>
          <t>Part 3: score both (about 10 minutes)</t>
        </is>
      </c>
    </row>
    <row r="21" ht="30" customHeight="1">
      <c r="B21" s="3" t="inlineStr">
        <is>
          <t>9. Fill the 'Scorecard' sheet: rate your quote and the app's on each line, then answer the questions at the bottom.</t>
        </is>
      </c>
    </row>
    <row r="23" ht="15" customHeight="1">
      <c r="B23" s="2" t="inlineStr">
        <is>
          <t>How to read this workbook</t>
        </is>
      </c>
    </row>
    <row r="24" ht="15" customHeight="1">
      <c r="B24" s="4" t="inlineStr">
        <is>
          <t>Yellow cell with blue text = type here.  Black = calculated (don't edit).  Green = pulled from another sheet.</t>
        </is>
      </c>
    </row>
    <row r="25" ht="30" customHeight="1">
      <c r="B25" s="4" t="inlineStr">
        <is>
          <t>Example of the format: in 'Quote worksheet', Backend Developer build hours = 640 (a number of hours, not a %).</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B2:C9"/>
  <sheetViews>
    <sheetView showGridLines="0" workbookViewId="0">
      <selection activeCell="A1" sqref="A1"/>
    </sheetView>
  </sheetViews>
  <sheetFormatPr baseColWidth="8" defaultRowHeight="15"/>
  <cols>
    <col width="3" customWidth="1" min="1" max="1"/>
    <col width="22" customWidth="1" min="2" max="2"/>
    <col width="90" customWidth="1" min="3" max="3"/>
  </cols>
  <sheetData>
    <row r="2">
      <c r="B2" s="1" t="inlineStr">
        <is>
          <t>The client request (identical to the sample PDF in the app)</t>
        </is>
      </c>
    </row>
    <row r="4">
      <c r="B4" s="5" t="inlineStr">
        <is>
          <t>Client</t>
        </is>
      </c>
      <c r="C4" s="6" t="inlineStr">
        <is>
          <t>BrightSmile Dental Group</t>
        </is>
      </c>
    </row>
    <row r="5">
      <c r="B5" s="5" t="inlineStr">
        <is>
          <t>Country</t>
        </is>
      </c>
      <c r="C5" s="6" t="inlineStr">
        <is>
          <t>US</t>
        </is>
      </c>
    </row>
    <row r="6">
      <c r="B6" s="5" t="inlineStr">
        <is>
          <t>Quote currency</t>
        </is>
      </c>
      <c r="C6" s="6" t="inlineStr">
        <is>
          <t>USD</t>
        </is>
      </c>
    </row>
    <row r="7">
      <c r="B7" s="5" t="inlineStr">
        <is>
          <t>Received</t>
        </is>
      </c>
      <c r="C7" s="6" t="inlineStr">
        <is>
          <t>2026-10-26 (the demo data's 'today')</t>
        </is>
      </c>
    </row>
    <row r="9" ht="560" customHeight="1">
      <c r="B9" s="7" t="inlineStr">
        <is>
          <t>RFP (text of the PDF)</t>
        </is>
      </c>
      <c r="C9" s="8" t="inlineStr">
        <is>
          <t>BrightSmile Dental Group - Request for Proposal: Patient Booking App
Issued by: Megan Walsh, COO, BrightSmile Dental Group (Ohio and Michigan, USA)
Background and needs
Hi Empower team,
We run 14 dental clinics across Ohio and Michigan (BrightSmile Dental Group). Right now
patients call the front desk to book, and our staff spend most of the morning on the phone.
We want:
1. A patient app (iPhone + Android) and a matching website where patients can book,
reschedule and cancel cleanings and appointments with a specific dentist or hygienist.
2. SMS and email reminders 48h and 2h before the visit, with a 'confirm' button. No-shows
cost us a lot.
3. Patients should see their upcoming visits, past visit summaries and outstanding balance,
and pay the balance by card.
4. A simple admin panel for front-desk staff to manage dentist schedules, block holidays and
see the day's bookings per clinic.
5. Our practice management system is Dentrix; bookings need to sync with it (they have an
API, we think).
We obviously need this to be HIPAA compliant. We'd like to go live before our busy season in
early April. Budget is not fixed but our board was thinking around $60-80k. Can you send a
proposal with timeline and price?
Thanks,
Megan Walsh
COO, BrightSmile Dental Group
Evaluation
Proposals will be compared on understanding of our needs, HIPAA approach, timeline, team and
price. Please include assumptions and questions for us.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B2:I53"/>
  <sheetViews>
    <sheetView showGridLines="0" workbookViewId="0">
      <pane ySplit="4" topLeftCell="A5" activePane="bottomLeft" state="frozen"/>
      <selection pane="bottomLeft" activeCell="A1" sqref="A1"/>
    </sheetView>
  </sheetViews>
  <sheetFormatPr baseColWidth="8" defaultRowHeight="15"/>
  <cols>
    <col width="3" customWidth="1" min="1" max="1"/>
    <col width="50" customWidth="1" min="2" max="2"/>
    <col width="16" customWidth="1" min="3" max="3"/>
    <col width="16" customWidth="1" min="4" max="4"/>
    <col width="12" customWidth="1" min="5" max="5"/>
    <col width="15" customWidth="1" min="6" max="6"/>
    <col width="15" customWidth="1" min="7" max="7"/>
    <col width="18" customWidth="1" min="8" max="8"/>
    <col hidden="1" width="13" customWidth="1" min="9" max="9"/>
  </cols>
  <sheetData>
    <row r="2">
      <c r="B2" s="1" t="inlineStr">
        <is>
          <t>Your quote: BrightSmile patient booking app</t>
        </is>
      </c>
    </row>
    <row r="3">
      <c r="B3" s="9" t="inlineStr">
        <is>
          <t>Yellow = type here (blue text). Black = calculated. Green = pulled from 'Rate card &amp; policy'.</t>
        </is>
      </c>
    </row>
    <row r="5">
      <c r="B5" s="5" t="inlineStr">
        <is>
          <t>Quote currency</t>
        </is>
      </c>
      <c r="C5" s="10" t="inlineStr">
        <is>
          <t>USD</t>
        </is>
      </c>
      <c r="D5" s="9" t="inlineStr">
        <is>
          <t>USD, EUR or GBP</t>
        </is>
      </c>
    </row>
    <row r="6">
      <c r="B6" s="5" t="inlineStr">
        <is>
          <t>Risk level</t>
        </is>
      </c>
      <c r="C6" s="10" t="inlineStr">
        <is>
          <t>medium</t>
        </is>
      </c>
      <c r="D6" s="9" t="inlineStr">
        <is>
          <t>low, medium or high: sets contingency (10% / 15% / 25%)</t>
        </is>
      </c>
    </row>
    <row r="7">
      <c r="B7" s="5" t="inlineStr">
        <is>
          <t>Regulated data (HIPAA / PCI / GDPR)?</t>
        </is>
      </c>
      <c r="C7" s="10" t="inlineStr">
        <is>
          <t>No</t>
        </is>
      </c>
      <c r="D7" s="9" t="inlineStr">
        <is>
          <t>Yes adds 10% to QA hours</t>
        </is>
      </c>
    </row>
    <row r="8">
      <c r="B8" s="5" t="inlineStr">
        <is>
          <t>Discount</t>
        </is>
      </c>
      <c r="C8" s="11" t="n">
        <v>0</v>
      </c>
      <c r="D8" s="9" t="inlineStr">
        <is>
          <t>Type 5% (or 0.05). Over 5% needs a director; 10% is the maximum</t>
        </is>
      </c>
    </row>
    <row r="9">
      <c r="B9" s="5" t="inlineStr">
        <is>
          <t>Planned start date</t>
        </is>
      </c>
      <c r="C9" s="12" t="n"/>
      <c r="D9" s="9" t="inlineStr">
        <is>
          <t>e.g. 2 Nov 2026</t>
        </is>
      </c>
    </row>
    <row r="10">
      <c r="B10" s="5" t="inlineStr">
        <is>
          <t>Planned go-live date</t>
        </is>
      </c>
      <c r="C10" s="12" t="n"/>
      <c r="D10" s="9" t="inlineStr">
        <is>
          <t>e.g. 30 Apr 2027</t>
        </is>
      </c>
    </row>
    <row r="11">
      <c r="B11" s="5" t="inlineStr">
        <is>
          <t>Feasible?</t>
        </is>
      </c>
      <c r="C11" s="10" t="n"/>
      <c r="D11" s="9" t="inlineStr">
        <is>
          <t>Yes / Yes with conditions / No</t>
        </is>
      </c>
    </row>
    <row r="12">
      <c r="B12" s="5" t="inlineStr">
        <is>
          <t>Weeks from start to go-live</t>
        </is>
      </c>
      <c r="C12" s="13">
        <f>IF(AND(ISNUMBER(C9),ISNUMBER(C10)),(C10-C9)/7,0)</f>
        <v/>
      </c>
    </row>
    <row r="14" ht="42" customHeight="1">
      <c r="B14" s="14" t="inlineStr">
        <is>
          <t>Role</t>
        </is>
      </c>
      <c r="C14" s="14" t="inlineStr">
        <is>
          <t>Build hours (you enter)</t>
        </is>
      </c>
      <c r="D14" s="14" t="inlineStr">
        <is>
          <t>Hours incl. PM, lead, QA, contingency</t>
        </is>
      </c>
      <c r="E14" s="14" t="inlineStr">
        <is>
          <t>Rate / h</t>
        </is>
      </c>
      <c r="F14" s="14" t="inlineStr">
        <is>
          <t>Billing at list</t>
        </is>
      </c>
      <c r="G14" s="14" t="inlineStr">
        <is>
          <t>Internal cost / h (INR)</t>
        </is>
      </c>
      <c r="H14" s="14" t="inlineStr">
        <is>
          <t>Internal cost (INR)</t>
        </is>
      </c>
    </row>
    <row r="15">
      <c r="B15" s="6" t="inlineStr">
        <is>
          <t>Business Analyst</t>
        </is>
      </c>
      <c r="C15" s="15" t="n">
        <v>0</v>
      </c>
      <c r="D15" s="16">
        <f>(C15)*$C$39</f>
        <v/>
      </c>
      <c r="E15" s="17">
        <f>INDEX('Rate card &amp; policy'!$D$5:$F$15,MATCH($I15,'Rate card &amp; policy'!$B$5:$B$15,0),MATCH($C$5,'Rate card &amp; policy'!$D$4:$F$4,0))</f>
        <v/>
      </c>
      <c r="F15" s="16">
        <f>D15*E15</f>
        <v/>
      </c>
      <c r="G15" s="17">
        <f>INDEX('Rate card &amp; policy'!$G$5:$G$15,MATCH($I15,'Rate card &amp; policy'!$B$5:$B$15,0))</f>
        <v/>
      </c>
      <c r="H15" s="16">
        <f>D15*G15</f>
        <v/>
      </c>
      <c r="I15" t="inlineStr">
        <is>
          <t>ba</t>
        </is>
      </c>
    </row>
    <row r="16">
      <c r="B16" s="6" t="inlineStr">
        <is>
          <t>UI/UX Designer</t>
        </is>
      </c>
      <c r="C16" s="15" t="n">
        <v>0</v>
      </c>
      <c r="D16" s="16">
        <f>(C16)*$C$39</f>
        <v/>
      </c>
      <c r="E16" s="17">
        <f>INDEX('Rate card &amp; policy'!$D$5:$F$15,MATCH($I16,'Rate card &amp; policy'!$B$5:$B$15,0),MATCH($C$5,'Rate card &amp; policy'!$D$4:$F$4,0))</f>
        <v/>
      </c>
      <c r="F16" s="16">
        <f>D16*E16</f>
        <v/>
      </c>
      <c r="G16" s="17">
        <f>INDEX('Rate card &amp; policy'!$G$5:$G$15,MATCH($I16,'Rate card &amp; policy'!$B$5:$B$15,0))</f>
        <v/>
      </c>
      <c r="H16" s="16">
        <f>D16*G16</f>
        <v/>
      </c>
      <c r="I16" t="inlineStr">
        <is>
          <t>uiux</t>
        </is>
      </c>
    </row>
    <row r="17">
      <c r="B17" s="6" t="inlineStr">
        <is>
          <t>Frontend Developer</t>
        </is>
      </c>
      <c r="C17" s="15" t="n">
        <v>0</v>
      </c>
      <c r="D17" s="16">
        <f>(C17)*$C$39</f>
        <v/>
      </c>
      <c r="E17" s="17">
        <f>INDEX('Rate card &amp; policy'!$D$5:$F$15,MATCH($I17,'Rate card &amp; policy'!$B$5:$B$15,0),MATCH($C$5,'Rate card &amp; policy'!$D$4:$F$4,0))</f>
        <v/>
      </c>
      <c r="F17" s="16">
        <f>D17*E17</f>
        <v/>
      </c>
      <c r="G17" s="17">
        <f>INDEX('Rate card &amp; policy'!$G$5:$G$15,MATCH($I17,'Rate card &amp; policy'!$B$5:$B$15,0))</f>
        <v/>
      </c>
      <c r="H17" s="16">
        <f>D17*G17</f>
        <v/>
      </c>
      <c r="I17" t="inlineStr">
        <is>
          <t>fe</t>
        </is>
      </c>
    </row>
    <row r="18">
      <c r="B18" s="6" t="inlineStr">
        <is>
          <t>Backend Developer</t>
        </is>
      </c>
      <c r="C18" s="15" t="n">
        <v>0</v>
      </c>
      <c r="D18" s="16">
        <f>(C18)*$C$39</f>
        <v/>
      </c>
      <c r="E18" s="17">
        <f>INDEX('Rate card &amp; policy'!$D$5:$F$15,MATCH($I18,'Rate card &amp; policy'!$B$5:$B$15,0),MATCH($C$5,'Rate card &amp; policy'!$D$4:$F$4,0))</f>
        <v/>
      </c>
      <c r="F18" s="16">
        <f>D18*E18</f>
        <v/>
      </c>
      <c r="G18" s="17">
        <f>INDEX('Rate card &amp; policy'!$G$5:$G$15,MATCH($I18,'Rate card &amp; policy'!$B$5:$B$15,0))</f>
        <v/>
      </c>
      <c r="H18" s="16">
        <f>D18*G18</f>
        <v/>
      </c>
      <c r="I18" t="inlineStr">
        <is>
          <t>be</t>
        </is>
      </c>
    </row>
    <row r="19">
      <c r="B19" s="6" t="inlineStr">
        <is>
          <t>Mobile Developer</t>
        </is>
      </c>
      <c r="C19" s="15" t="n">
        <v>0</v>
      </c>
      <c r="D19" s="16">
        <f>(C19)*$C$39</f>
        <v/>
      </c>
      <c r="E19" s="17">
        <f>INDEX('Rate card &amp; policy'!$D$5:$F$15,MATCH($I19,'Rate card &amp; policy'!$B$5:$B$15,0),MATCH($C$5,'Rate card &amp; policy'!$D$4:$F$4,0))</f>
        <v/>
      </c>
      <c r="F19" s="16">
        <f>D19*E19</f>
        <v/>
      </c>
      <c r="G19" s="17">
        <f>INDEX('Rate card &amp; policy'!$G$5:$G$15,MATCH($I19,'Rate card &amp; policy'!$B$5:$B$15,0))</f>
        <v/>
      </c>
      <c r="H19" s="16">
        <f>D19*G19</f>
        <v/>
      </c>
      <c r="I19" t="inlineStr">
        <is>
          <t>mobile</t>
        </is>
      </c>
    </row>
    <row r="20">
      <c r="B20" s="6" t="inlineStr">
        <is>
          <t>QA Engineer</t>
        </is>
      </c>
      <c r="C20" s="15" t="n">
        <v>0</v>
      </c>
      <c r="D20" s="16">
        <f>(C20+$C$31+$C$32)*$C$39</f>
        <v/>
      </c>
      <c r="E20" s="17">
        <f>INDEX('Rate card &amp; policy'!$D$5:$F$15,MATCH($I20,'Rate card &amp; policy'!$B$5:$B$15,0),MATCH($C$5,'Rate card &amp; policy'!$D$4:$F$4,0))</f>
        <v/>
      </c>
      <c r="F20" s="16">
        <f>D20*E20</f>
        <v/>
      </c>
      <c r="G20" s="17">
        <f>INDEX('Rate card &amp; policy'!$G$5:$G$15,MATCH($I20,'Rate card &amp; policy'!$B$5:$B$15,0))</f>
        <v/>
      </c>
      <c r="H20" s="16">
        <f>D20*G20</f>
        <v/>
      </c>
      <c r="I20" t="inlineStr">
        <is>
          <t>qa</t>
        </is>
      </c>
    </row>
    <row r="21">
      <c r="B21" s="6" t="inlineStr">
        <is>
          <t>DevOps / Cloud Engineer</t>
        </is>
      </c>
      <c r="C21" s="15" t="n">
        <v>0</v>
      </c>
      <c r="D21" s="16">
        <f>(C21)*$C$39</f>
        <v/>
      </c>
      <c r="E21" s="17">
        <f>INDEX('Rate card &amp; policy'!$D$5:$F$15,MATCH($I21,'Rate card &amp; policy'!$B$5:$B$15,0),MATCH($C$5,'Rate card &amp; policy'!$D$4:$F$4,0))</f>
        <v/>
      </c>
      <c r="F21" s="16">
        <f>D21*E21</f>
        <v/>
      </c>
      <c r="G21" s="17">
        <f>INDEX('Rate card &amp; policy'!$G$5:$G$15,MATCH($I21,'Rate card &amp; policy'!$B$5:$B$15,0))</f>
        <v/>
      </c>
      <c r="H21" s="16">
        <f>D21*G21</f>
        <v/>
      </c>
      <c r="I21" t="inlineStr">
        <is>
          <t>devops</t>
        </is>
      </c>
    </row>
    <row r="22">
      <c r="B22" s="6" t="inlineStr">
        <is>
          <t>Data / BI Engineer</t>
        </is>
      </c>
      <c r="C22" s="15" t="n">
        <v>0</v>
      </c>
      <c r="D22" s="16">
        <f>(C22)*$C$39</f>
        <v/>
      </c>
      <c r="E22" s="17">
        <f>INDEX('Rate card &amp; policy'!$D$5:$F$15,MATCH($I22,'Rate card &amp; policy'!$B$5:$B$15,0),MATCH($C$5,'Rate card &amp; policy'!$D$4:$F$4,0))</f>
        <v/>
      </c>
      <c r="F22" s="16">
        <f>D22*E22</f>
        <v/>
      </c>
      <c r="G22" s="17">
        <f>INDEX('Rate card &amp; policy'!$G$5:$G$15,MATCH($I22,'Rate card &amp; policy'!$B$5:$B$15,0))</f>
        <v/>
      </c>
      <c r="H22" s="16">
        <f>D22*G22</f>
        <v/>
      </c>
      <c r="I22" t="inlineStr">
        <is>
          <t>data</t>
        </is>
      </c>
    </row>
    <row r="23">
      <c r="B23" s="6" t="inlineStr">
        <is>
          <t>AI / ML Engineer</t>
        </is>
      </c>
      <c r="C23" s="15" t="n">
        <v>0</v>
      </c>
      <c r="D23" s="16">
        <f>(C23)*$C$39</f>
        <v/>
      </c>
      <c r="E23" s="17">
        <f>INDEX('Rate card &amp; policy'!$D$5:$F$15,MATCH($I23,'Rate card &amp; policy'!$B$5:$B$15,0),MATCH($C$5,'Rate card &amp; policy'!$D$4:$F$4,0))</f>
        <v/>
      </c>
      <c r="F23" s="16">
        <f>D23*E23</f>
        <v/>
      </c>
      <c r="G23" s="17">
        <f>INDEX('Rate card &amp; policy'!$G$5:$G$15,MATCH($I23,'Rate card &amp; policy'!$B$5:$B$15,0))</f>
        <v/>
      </c>
      <c r="H23" s="16">
        <f>D23*G23</f>
        <v/>
      </c>
      <c r="I23" t="inlineStr">
        <is>
          <t>ml</t>
        </is>
      </c>
    </row>
    <row r="24">
      <c r="B24" s="6" t="inlineStr">
        <is>
          <t>Project Manager</t>
        </is>
      </c>
      <c r="C24" s="18" t="inlineStr">
        <is>
          <t>added by policy</t>
        </is>
      </c>
      <c r="D24" s="16">
        <f>$C$34*$C$39</f>
        <v/>
      </c>
      <c r="E24" s="17">
        <f>INDEX('Rate card &amp; policy'!$D$5:$F$15,MATCH($I24,'Rate card &amp; policy'!$B$5:$B$15,0),MATCH($C$5,'Rate card &amp; policy'!$D$4:$F$4,0))</f>
        <v/>
      </c>
      <c r="F24" s="16">
        <f>D24*E24</f>
        <v/>
      </c>
      <c r="G24" s="17">
        <f>INDEX('Rate card &amp; policy'!$G$5:$G$15,MATCH($I24,'Rate card &amp; policy'!$B$5:$B$15,0))</f>
        <v/>
      </c>
      <c r="H24" s="16">
        <f>D24*G24</f>
        <v/>
      </c>
      <c r="I24" t="inlineStr">
        <is>
          <t>pm</t>
        </is>
      </c>
    </row>
    <row r="25">
      <c r="B25" s="6" t="inlineStr">
        <is>
          <t>Tech Lead / Architect</t>
        </is>
      </c>
      <c r="C25" s="18" t="inlineStr">
        <is>
          <t>added by policy</t>
        </is>
      </c>
      <c r="D25" s="16">
        <f>$C$35*$C$39</f>
        <v/>
      </c>
      <c r="E25" s="17">
        <f>INDEX('Rate card &amp; policy'!$D$5:$F$15,MATCH($I25,'Rate card &amp; policy'!$B$5:$B$15,0),MATCH($C$5,'Rate card &amp; policy'!$D$4:$F$4,0))</f>
        <v/>
      </c>
      <c r="F25" s="16">
        <f>D25*E25</f>
        <v/>
      </c>
      <c r="G25" s="17">
        <f>INDEX('Rate card &amp; policy'!$G$5:$G$15,MATCH($I25,'Rate card &amp; policy'!$B$5:$B$15,0))</f>
        <v/>
      </c>
      <c r="H25" s="16">
        <f>D25*G25</f>
        <v/>
      </c>
      <c r="I25" t="inlineStr">
        <is>
          <t>lead</t>
        </is>
      </c>
    </row>
    <row r="26">
      <c r="B26" s="19" t="inlineStr">
        <is>
          <t>Total</t>
        </is>
      </c>
      <c r="C26" s="20">
        <f>SUM(C15:C23)</f>
        <v/>
      </c>
      <c r="D26" s="20">
        <f>SUM(D15:D25)</f>
        <v/>
      </c>
      <c r="E26" s="21" t="n"/>
      <c r="F26" s="20">
        <f>SUM(F15:F25)</f>
        <v/>
      </c>
      <c r="G26" s="21" t="n"/>
      <c r="H26" s="20">
        <f>SUM(H15:H25)</f>
        <v/>
      </c>
    </row>
    <row r="28">
      <c r="B28" s="22" t="inlineStr">
        <is>
          <t>How the hours are built up (policy rules)</t>
        </is>
      </c>
    </row>
    <row r="29">
      <c r="B29" s="6" t="inlineStr">
        <is>
          <t>Development hours (FE, BE, mobile, DevOps, data, ML)</t>
        </is>
      </c>
      <c r="C29" s="16">
        <f>C17+C18+C19+C22+C23+C21</f>
        <v/>
      </c>
    </row>
    <row r="30">
      <c r="B30" s="6" t="inlineStr">
        <is>
          <t>QA needed (minimum share of dev hours)</t>
        </is>
      </c>
      <c r="C30" s="16">
        <f>C29*'Rate card &amp; policy'!$J$10</f>
        <v/>
      </c>
    </row>
    <row r="31">
      <c r="B31" s="6" t="inlineStr">
        <is>
          <t>QA top-up to reach the minimum</t>
        </is>
      </c>
      <c r="C31" s="16">
        <f>MAX(0,C30-C20)</f>
        <v/>
      </c>
    </row>
    <row r="32">
      <c r="B32" s="6" t="inlineStr">
        <is>
          <t>Regulated-data QA uplift</t>
        </is>
      </c>
      <c r="C32" s="16">
        <f>IF($C$7="Yes",(C20+C31)*'Rate card &amp; policy'!$J$11,0)</f>
        <v/>
      </c>
    </row>
    <row r="33">
      <c r="B33" s="6" t="inlineStr">
        <is>
          <t>Base hours (build + QA top-ups)</t>
        </is>
      </c>
      <c r="C33" s="16">
        <f>C26+C31+C32</f>
        <v/>
      </c>
    </row>
    <row r="34">
      <c r="B34" s="6" t="inlineStr">
        <is>
          <t>Project manager</t>
        </is>
      </c>
      <c r="C34" s="16">
        <f>C33*'Rate card &amp; policy'!$J$8</f>
        <v/>
      </c>
    </row>
    <row r="35">
      <c r="B35" s="6" t="inlineStr">
        <is>
          <t>Tech lead</t>
        </is>
      </c>
      <c r="C35" s="16">
        <f>C33*'Rate card &amp; policy'!$J$9</f>
        <v/>
      </c>
    </row>
    <row r="36">
      <c r="B36" s="6" t="inlineStr">
        <is>
          <t>Subtotal (expected hours)</t>
        </is>
      </c>
      <c r="C36" s="16">
        <f>C33+C34+C35</f>
        <v/>
      </c>
    </row>
    <row r="37">
      <c r="B37" s="6" t="inlineStr">
        <is>
          <t>Contingency %</t>
        </is>
      </c>
      <c r="C37" s="23">
        <f>INDEX('Rate card &amp; policy'!$J$12:$J$14,MATCH($C$6,{"low","medium","high"},0))</f>
        <v/>
      </c>
    </row>
    <row r="38">
      <c r="B38" s="6" t="inlineStr">
        <is>
          <t>Total hours priced</t>
        </is>
      </c>
      <c r="C38" s="16">
        <f>C36*(1+C37)</f>
        <v/>
      </c>
    </row>
    <row r="39">
      <c r="B39" s="6" t="inlineStr">
        <is>
          <t>Scale factor (total / subtotal)</t>
        </is>
      </c>
      <c r="C39" s="24">
        <f>IF(C36&gt;0,C38/C36,1)</f>
        <v/>
      </c>
    </row>
    <row r="41">
      <c r="B41" s="22" t="inlineStr">
        <is>
          <t>Price and margin</t>
        </is>
      </c>
    </row>
    <row r="42">
      <c r="B42" s="6" t="inlineStr">
        <is>
          <t>Time &amp; materials at list rates</t>
        </is>
      </c>
      <c r="C42" s="16">
        <f>F26</f>
        <v/>
      </c>
    </row>
    <row r="43">
      <c r="B43" s="25" t="inlineStr">
        <is>
          <t>Time &amp; materials price (after discount, rounded)</t>
        </is>
      </c>
      <c r="C43" s="26">
        <f>ROUND(C42*(1-$C$8),-2)</f>
        <v/>
      </c>
    </row>
    <row r="44">
      <c r="B44" s="25" t="inlineStr">
        <is>
          <t>Fixed price (list + risk premium, after discount, rounded)</t>
        </is>
      </c>
      <c r="C44" s="26">
        <f>ROUND(C42*(1+'Rate card &amp; policy'!$J$15)*(1-$C$8),-2)</f>
        <v/>
      </c>
    </row>
    <row r="45">
      <c r="B45" s="6" t="inlineStr">
        <is>
          <t>Internal delivery cost (in quote currency)</t>
        </is>
      </c>
      <c r="C45" s="16">
        <f>H26/INDEX('Rate card &amp; policy'!$J$5:$J$7,MATCH($C$5,{"USD","EUR","GBP"},0))</f>
        <v/>
      </c>
    </row>
    <row r="46">
      <c r="B46" s="6" t="inlineStr">
        <is>
          <t>Margin, fixed price</t>
        </is>
      </c>
      <c r="C46" s="27">
        <f>IF(C44&gt;0,(C44-C45)/C44,0)</f>
        <v/>
      </c>
    </row>
    <row r="47">
      <c r="B47" s="6" t="inlineStr">
        <is>
          <t>Margin, time &amp; materials</t>
        </is>
      </c>
      <c r="C47" s="27">
        <f>IF(C43&gt;0,(C43-C45)/C43,0)</f>
        <v/>
      </c>
    </row>
    <row r="48">
      <c r="B48" s="6" t="inlineStr">
        <is>
          <t>Policy check</t>
        </is>
      </c>
      <c r="C48" s="6">
        <f>IF(C42=0,"Enter build hours above",IF($C$8&gt;'Rate card &amp; policy'!$J$19,"Discount above the policy maximum",IF(MIN(C46,C47)&lt;'Rate card &amp; policy'!$J$16,"Margin below the 35% floor: director approval",IF($C$8&gt;'Rate card &amp; policy'!$J$18,"Discount over 5%: director approval","Within policy"))))</f>
        <v/>
      </c>
      <c r="D48" s="28" t="n"/>
      <c r="E48" s="29" t="n"/>
    </row>
    <row r="49">
      <c r="B49" s="5" t="inlineStr">
        <is>
          <t>Which would you recommend?</t>
        </is>
      </c>
      <c r="C49" s="10" t="n"/>
    </row>
    <row r="51" ht="60" customHeight="1">
      <c r="B51" s="7" t="inlineStr">
        <is>
          <t>Team you would staff (names or roles)</t>
        </is>
      </c>
      <c r="C51" s="30" t="n"/>
    </row>
    <row r="52" ht="75" customHeight="1">
      <c r="B52" s="7" t="inlineStr">
        <is>
          <t>Top risks</t>
        </is>
      </c>
      <c r="C52" s="30" t="n"/>
    </row>
    <row r="53" ht="75" customHeight="1">
      <c r="B53" s="7" t="inlineStr">
        <is>
          <t>Questions you would ask the client before quoting</t>
        </is>
      </c>
      <c r="C53" s="30" t="n"/>
    </row>
  </sheetData>
  <mergeCells count="4">
    <mergeCell ref="C51:H51"/>
    <mergeCell ref="C48:E48"/>
    <mergeCell ref="C52:H52"/>
    <mergeCell ref="C53:H53"/>
  </mergeCells>
  <dataValidations count="6">
    <dataValidation sqref="C5" showDropDown="0" showInputMessage="0" showErrorMessage="0" allowBlank="0" type="list">
      <formula1>"USD,EUR,GBP"</formula1>
    </dataValidation>
    <dataValidation sqref="C6" showDropDown="0" showInputMessage="0" showErrorMessage="0" allowBlank="0" type="list">
      <formula1>"low,medium,high"</formula1>
    </dataValidation>
    <dataValidation sqref="C7" showDropDown="0" showInputMessage="0" showErrorMessage="0" allowBlank="0" type="list">
      <formula1>"Yes,No"</formula1>
    </dataValidation>
    <dataValidation sqref="C8" showDropDown="0" showInputMessage="0" showErrorMessage="0" allowBlank="0" type="decimal" operator="between">
      <formula1>0</formula1>
      <formula2>0.1</formula2>
    </dataValidation>
    <dataValidation sqref="C11" showDropDown="0" showInputMessage="0" showErrorMessage="0" allowBlank="0" type="list">
      <formula1>"Yes,Yes with conditions,No"</formula1>
    </dataValidation>
    <dataValidation sqref="C49" showDropDown="0" showInputMessage="0" showErrorMessage="0" allowBlank="0" type="list">
      <formula1>"Fixed price,Time &amp; materials"</formula1>
    </dataValidation>
  </dataValidations>
  <pageMargins left="0.75" right="0.75" top="1" bottom="1" header="0.5" footer="0.5"/>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B2:E33"/>
  <sheetViews>
    <sheetView showGridLines="0" workbookViewId="0">
      <selection activeCell="A1" sqref="A1"/>
    </sheetView>
  </sheetViews>
  <sheetFormatPr baseColWidth="8" defaultRowHeight="15"/>
  <cols>
    <col width="3" customWidth="1" min="1" max="1"/>
    <col width="52" customWidth="1" min="2" max="2"/>
    <col width="16" customWidth="1" min="3" max="3"/>
    <col width="16" customWidth="1" min="4" max="4"/>
    <col width="50" customWidth="1" min="5" max="5"/>
  </cols>
  <sheetData>
    <row r="2">
      <c r="B2" s="1" t="inlineStr">
        <is>
          <t>Scorecard: time and quality, by hand vs the app</t>
        </is>
      </c>
    </row>
    <row r="3">
      <c r="B3" s="9" t="inlineStr">
        <is>
          <t>Yellow = type here. Times as hh:mm (e.g. 14:05). Ratings 1 (poor) to 5 (excellent).</t>
        </is>
      </c>
    </row>
    <row r="5">
      <c r="B5" s="14" t="inlineStr">
        <is>
          <t>Timing</t>
        </is>
      </c>
      <c r="C5" s="14" t="inlineStr">
        <is>
          <t>Time</t>
        </is>
      </c>
      <c r="D5" s="14" t="inlineStr"/>
      <c r="E5" s="14" t="inlineStr">
        <is>
          <t>Note</t>
        </is>
      </c>
    </row>
    <row r="6">
      <c r="B6" s="31" t="inlineStr">
        <is>
          <t>Part 1 by hand: start</t>
        </is>
      </c>
      <c r="C6" s="32" t="n"/>
    </row>
    <row r="7">
      <c r="B7" s="31" t="inlineStr">
        <is>
          <t>Part 1 by hand: end</t>
        </is>
      </c>
      <c r="C7" s="32" t="n"/>
    </row>
    <row r="8">
      <c r="B8" s="31" t="inlineStr">
        <is>
          <t>If you stopped early: hours a proper quote would really take you</t>
        </is>
      </c>
      <c r="C8" s="33" t="n"/>
      <c r="E8" s="9" t="inlineStr">
        <is>
          <t>Only if you stopped at the 40-minute limit</t>
        </is>
      </c>
    </row>
    <row r="9">
      <c r="B9" s="31" t="inlineStr">
        <is>
          <t>Minutes spent by hand</t>
        </is>
      </c>
      <c r="C9" s="34">
        <f>IF(AND(ISNUMBER(C6),ISNUMBER(C7)),(C7-C6)*1440,0)</f>
        <v/>
      </c>
    </row>
    <row r="10">
      <c r="B10" s="31" t="inlineStr">
        <is>
          <t>Part 2 app: start (pressed Run)</t>
        </is>
      </c>
      <c r="C10" s="32" t="n"/>
    </row>
    <row r="11">
      <c r="B11" s="31" t="inlineStr">
        <is>
          <t>Part 2 app: formed a view</t>
        </is>
      </c>
      <c r="C11" s="32" t="n"/>
    </row>
    <row r="12">
      <c r="B12" s="31" t="inlineStr">
        <is>
          <t>Minutes with the app (run + reading)</t>
        </is>
      </c>
      <c r="C12" s="34">
        <f>IF(AND(ISNUMBER(C10),ISNUMBER(C11)),(C11-C10)*1440,0)</f>
        <v/>
      </c>
    </row>
    <row r="13">
      <c r="B13" s="31" t="inlineStr">
        <is>
          <t>How many days does a quote like this usually take at Empower, from email to sending?</t>
        </is>
      </c>
      <c r="C13" s="33" t="n"/>
      <c r="E13" s="9" t="inlineStr">
        <is>
          <t>Ask yourself, not the app</t>
        </is>
      </c>
    </row>
    <row r="16">
      <c r="B16" s="14" t="inlineStr">
        <is>
          <t>Rate each quote (1-5)</t>
        </is>
      </c>
      <c r="C16" s="14" t="inlineStr">
        <is>
          <t>By hand</t>
        </is>
      </c>
      <c r="D16" s="14" t="inlineStr">
        <is>
          <t>App</t>
        </is>
      </c>
      <c r="E16" s="14" t="inlineStr">
        <is>
          <t>Why (what was missing or wrong?)</t>
        </is>
      </c>
    </row>
    <row r="17">
      <c r="B17" s="18" t="inlineStr">
        <is>
          <t>Example: Hours are realistic (format only)</t>
        </is>
      </c>
      <c r="C17" s="18" t="n">
        <v>3</v>
      </c>
      <c r="D17" s="18" t="n">
        <v>4</v>
      </c>
      <c r="E17" s="18" t="inlineStr">
        <is>
          <t>App's mobile hours look high; mine missed QA</t>
        </is>
      </c>
    </row>
    <row r="18">
      <c r="B18" s="31" t="inlineStr">
        <is>
          <t>Hours are realistic for this work</t>
        </is>
      </c>
      <c r="C18" s="35" t="n"/>
      <c r="D18" s="35" t="n"/>
      <c r="E18" s="30" t="n"/>
    </row>
    <row r="19">
      <c r="B19" s="31" t="inlineStr">
        <is>
          <t>Team and dates are realistic (people actually free)</t>
        </is>
      </c>
      <c r="C19" s="35" t="n"/>
      <c r="D19" s="35" t="n"/>
      <c r="E19" s="30" t="n"/>
    </row>
    <row r="20">
      <c r="B20" s="31" t="inlineStr">
        <is>
          <t>Price is right for this client and within policy</t>
        </is>
      </c>
      <c r="C20" s="35" t="n"/>
      <c r="D20" s="35" t="n"/>
      <c r="E20" s="30" t="n"/>
    </row>
    <row r="21">
      <c r="B21" s="31" t="inlineStr">
        <is>
          <t>Risks and gaps were caught (e.g. Dentrix, HIPAA, deadline, budget)</t>
        </is>
      </c>
      <c r="C21" s="35" t="n"/>
      <c r="D21" s="35" t="n"/>
      <c r="E21" s="30" t="n"/>
    </row>
    <row r="22">
      <c r="B22" s="31" t="inlineStr">
        <is>
          <t>Questions for the client are the right ones</t>
        </is>
      </c>
      <c r="C22" s="35" t="n"/>
      <c r="D22" s="35" t="n"/>
      <c r="E22" s="30" t="n"/>
    </row>
    <row r="23">
      <c r="B23" s="31" t="inlineStr">
        <is>
          <t>Ready to send to the client after light editing</t>
        </is>
      </c>
      <c r="C23" s="35" t="n"/>
      <c r="D23" s="35" t="n"/>
      <c r="E23" s="30" t="n"/>
    </row>
    <row r="24">
      <c r="B24" s="19" t="inlineStr">
        <is>
          <t>Average</t>
        </is>
      </c>
      <c r="C24" s="36">
        <f>IF(COUNT(C18:C23)&gt;0,AVERAGE(C18:C23),0)</f>
        <v/>
      </c>
      <c r="D24" s="36">
        <f>IF(COUNT(D18:D23)&gt;0,AVERAGE(D18:D23),0)</f>
        <v/>
      </c>
    </row>
    <row r="26">
      <c r="B26" s="14" t="inlineStr">
        <is>
          <t>Questions</t>
        </is>
      </c>
      <c r="C26" s="14" t="inlineStr">
        <is>
          <t>Answer</t>
        </is>
      </c>
      <c r="D26" s="14" t="inlineStr"/>
      <c r="E26" s="14" t="inlineStr"/>
    </row>
    <row r="27" ht="30" customHeight="1">
      <c r="B27" s="31" t="inlineStr">
        <is>
          <t>Minutes of editing the app's proposal would need before you'd send it</t>
        </is>
      </c>
      <c r="C27" s="37" t="n"/>
    </row>
    <row r="28" ht="30" customHeight="1">
      <c r="B28" s="31" t="inlineStr">
        <is>
          <t>Would you use this for real quotes? (1 = never, 5 = every time)</t>
        </is>
      </c>
      <c r="C28" s="37" t="n"/>
    </row>
    <row r="29" ht="48" customHeight="1">
      <c r="B29" s="31" t="inlineStr">
        <is>
          <t>What did the app get wrong, or what would you not trust?</t>
        </is>
      </c>
      <c r="C29" s="30" t="n"/>
    </row>
    <row r="30" ht="48" customHeight="1">
      <c r="B30" s="31" t="inlineStr">
        <is>
          <t>What was most useful?</t>
        </is>
      </c>
      <c r="C30" s="30" t="n"/>
    </row>
    <row r="31" ht="48" customHeight="1">
      <c r="B31" s="31" t="inlineStr">
        <is>
          <t>One sentence I may quote in my course report</t>
        </is>
      </c>
      <c r="C31" s="30" t="n"/>
    </row>
    <row r="32" ht="48" customHeight="1">
      <c r="B32" s="31" t="inlineStr">
        <is>
          <t>May I quote you as (name + role, role only, or no)?</t>
        </is>
      </c>
      <c r="C32" s="30" t="n"/>
    </row>
    <row r="33" ht="48" customHeight="1">
      <c r="B33" s="31" t="inlineStr">
        <is>
          <t>Your role at Empower</t>
        </is>
      </c>
      <c r="C33" s="30" t="n"/>
    </row>
  </sheetData>
  <mergeCells count="7">
    <mergeCell ref="C33:E33"/>
    <mergeCell ref="C28:E28"/>
    <mergeCell ref="C27:E27"/>
    <mergeCell ref="C31:E31"/>
    <mergeCell ref="C29:E29"/>
    <mergeCell ref="C30:E30"/>
    <mergeCell ref="C32:E32"/>
  </mergeCells>
  <dataValidations count="1">
    <dataValidation sqref="C18:D23" showDropDown="0" showInputMessage="0" showErrorMessage="0" allowBlank="0" type="whole" operator="between">
      <formula1>1</formula1>
      <formula2>5</formula2>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B2:J31"/>
  <sheetViews>
    <sheetView showGridLines="0" workbookViewId="0">
      <selection activeCell="A1" sqref="A1"/>
    </sheetView>
  </sheetViews>
  <sheetFormatPr baseColWidth="8" defaultRowHeight="15"/>
  <cols>
    <col width="3" customWidth="1" min="1" max="1"/>
    <col width="12" customWidth="1" min="2" max="2"/>
    <col width="26" customWidth="1" min="3" max="3"/>
    <col width="11" customWidth="1" min="4" max="4"/>
    <col width="11" customWidth="1" min="5" max="5"/>
    <col width="11" customWidth="1" min="6" max="6"/>
    <col width="20" customWidth="1" min="7" max="7"/>
    <col width="4" customWidth="1" min="8" max="8"/>
    <col width="34" customWidth="1" min="9" max="9"/>
    <col width="14" customWidth="1" min="10" max="10"/>
  </cols>
  <sheetData>
    <row r="2">
      <c r="B2" s="1" t="inlineStr">
        <is>
          <t>Rate card and pricing policy (demo)</t>
        </is>
      </c>
    </row>
    <row r="3">
      <c r="D3" s="9" t="inlineStr">
        <is>
          <t>Billing rate per hour</t>
        </is>
      </c>
    </row>
    <row r="4">
      <c r="B4" s="14" t="inlineStr">
        <is>
          <t>Role key</t>
        </is>
      </c>
      <c r="C4" s="14" t="inlineStr">
        <is>
          <t>Role</t>
        </is>
      </c>
      <c r="D4" s="14" t="inlineStr">
        <is>
          <t>USD</t>
        </is>
      </c>
      <c r="E4" s="14" t="inlineStr">
        <is>
          <t>EUR</t>
        </is>
      </c>
      <c r="F4" s="14" t="inlineStr">
        <is>
          <t>GBP</t>
        </is>
      </c>
      <c r="G4" s="14" t="inlineStr">
        <is>
          <t>Internal cost / h (INR)</t>
        </is>
      </c>
      <c r="I4" s="14" t="inlineStr">
        <is>
          <t>Policy</t>
        </is>
      </c>
      <c r="J4" s="14" t="inlineStr">
        <is>
          <t>Value</t>
        </is>
      </c>
    </row>
    <row r="5">
      <c r="B5" s="6" t="inlineStr">
        <is>
          <t>pm</t>
        </is>
      </c>
      <c r="C5" s="6" t="inlineStr">
        <is>
          <t>Project Manager</t>
        </is>
      </c>
      <c r="D5" s="16" t="n">
        <v>38</v>
      </c>
      <c r="E5" s="16" t="n">
        <v>36</v>
      </c>
      <c r="F5" s="16" t="n">
        <v>31</v>
      </c>
      <c r="G5" s="16" t="n">
        <v>1726.4</v>
      </c>
      <c r="I5" s="6" t="inlineStr">
        <is>
          <t>INR per USD</t>
        </is>
      </c>
      <c r="J5" s="38" t="n">
        <v>88</v>
      </c>
    </row>
    <row r="6">
      <c r="B6" s="6" t="inlineStr">
        <is>
          <t>ba</t>
        </is>
      </c>
      <c r="C6" s="6" t="inlineStr">
        <is>
          <t>Business Analyst</t>
        </is>
      </c>
      <c r="D6" s="16" t="n">
        <v>32</v>
      </c>
      <c r="E6" s="16" t="n">
        <v>30</v>
      </c>
      <c r="F6" s="16" t="n">
        <v>26</v>
      </c>
      <c r="G6" s="16" t="n">
        <v>1060.3</v>
      </c>
      <c r="I6" s="6" t="inlineStr">
        <is>
          <t>INR per EUR</t>
        </is>
      </c>
      <c r="J6" s="38" t="n">
        <v>102</v>
      </c>
    </row>
    <row r="7">
      <c r="B7" s="6" t="inlineStr">
        <is>
          <t>uiux</t>
        </is>
      </c>
      <c r="C7" s="6" t="inlineStr">
        <is>
          <t>UI/UX Designer</t>
        </is>
      </c>
      <c r="D7" s="16" t="n">
        <v>30</v>
      </c>
      <c r="E7" s="16" t="n">
        <v>28</v>
      </c>
      <c r="F7" s="16" t="n">
        <v>25</v>
      </c>
      <c r="G7" s="16" t="n">
        <v>1075.4</v>
      </c>
      <c r="I7" s="6" t="inlineStr">
        <is>
          <t>INR per GBP</t>
        </is>
      </c>
      <c r="J7" s="38" t="n">
        <v>117</v>
      </c>
    </row>
    <row r="8">
      <c r="B8" s="6" t="inlineStr">
        <is>
          <t>fe</t>
        </is>
      </c>
      <c r="C8" s="6" t="inlineStr">
        <is>
          <t>Frontend Developer</t>
        </is>
      </c>
      <c r="D8" s="16" t="n">
        <v>28</v>
      </c>
      <c r="E8" s="16" t="n">
        <v>27</v>
      </c>
      <c r="F8" s="16" t="n">
        <v>23</v>
      </c>
      <c r="G8" s="16" t="n">
        <v>966.3</v>
      </c>
      <c r="I8" s="6" t="inlineStr">
        <is>
          <t>PM overhead</t>
        </is>
      </c>
      <c r="J8" s="23" t="n">
        <v>0.1</v>
      </c>
    </row>
    <row r="9">
      <c r="B9" s="6" t="inlineStr">
        <is>
          <t>be</t>
        </is>
      </c>
      <c r="C9" s="6" t="inlineStr">
        <is>
          <t>Backend Developer</t>
        </is>
      </c>
      <c r="D9" s="16" t="n">
        <v>30</v>
      </c>
      <c r="E9" s="16" t="n">
        <v>29</v>
      </c>
      <c r="F9" s="16" t="n">
        <v>25</v>
      </c>
      <c r="G9" s="16" t="n">
        <v>1272.4</v>
      </c>
      <c r="I9" s="6" t="inlineStr">
        <is>
          <t>Tech lead overhead</t>
        </is>
      </c>
      <c r="J9" s="23" t="n">
        <v>0.06</v>
      </c>
    </row>
    <row r="10">
      <c r="B10" s="6" t="inlineStr">
        <is>
          <t>mobile</t>
        </is>
      </c>
      <c r="C10" s="6" t="inlineStr">
        <is>
          <t>Mobile Developer</t>
        </is>
      </c>
      <c r="D10" s="16" t="n">
        <v>32</v>
      </c>
      <c r="E10" s="16" t="n">
        <v>30</v>
      </c>
      <c r="F10" s="16" t="n">
        <v>26</v>
      </c>
      <c r="G10" s="16" t="n">
        <v>802</v>
      </c>
      <c r="I10" s="6" t="inlineStr">
        <is>
          <t>Minimum QA (share of dev hours)</t>
        </is>
      </c>
      <c r="J10" s="23" t="n">
        <v>0.2</v>
      </c>
    </row>
    <row r="11">
      <c r="B11" s="6" t="inlineStr">
        <is>
          <t>qa</t>
        </is>
      </c>
      <c r="C11" s="6" t="inlineStr">
        <is>
          <t>QA Engineer</t>
        </is>
      </c>
      <c r="D11" s="16" t="n">
        <v>22</v>
      </c>
      <c r="E11" s="16" t="n">
        <v>21</v>
      </c>
      <c r="F11" s="16" t="n">
        <v>18</v>
      </c>
      <c r="G11" s="16" t="n">
        <v>1189.8</v>
      </c>
      <c r="I11" s="6" t="inlineStr">
        <is>
          <t>Extra QA for regulated data (HIPAA/PCI/GDPR)</t>
        </is>
      </c>
      <c r="J11" s="23" t="n">
        <v>0.1</v>
      </c>
    </row>
    <row r="12">
      <c r="B12" s="6" t="inlineStr">
        <is>
          <t>devops</t>
        </is>
      </c>
      <c r="C12" s="6" t="inlineStr">
        <is>
          <t>DevOps / Cloud Engineer</t>
        </is>
      </c>
      <c r="D12" s="16" t="n">
        <v>36</v>
      </c>
      <c r="E12" s="16" t="n">
        <v>34</v>
      </c>
      <c r="F12" s="16" t="n">
        <v>29</v>
      </c>
      <c r="G12" s="16" t="n">
        <v>885.1</v>
      </c>
      <c r="I12" s="6" t="inlineStr">
        <is>
          <t>Contingency: low risk</t>
        </is>
      </c>
      <c r="J12" s="23" t="n">
        <v>0.1</v>
      </c>
    </row>
    <row r="13">
      <c r="B13" s="6" t="inlineStr">
        <is>
          <t>data</t>
        </is>
      </c>
      <c r="C13" s="6" t="inlineStr">
        <is>
          <t>Data / BI Engineer</t>
        </is>
      </c>
      <c r="D13" s="16" t="n">
        <v>36</v>
      </c>
      <c r="E13" s="16" t="n">
        <v>34</v>
      </c>
      <c r="F13" s="16" t="n">
        <v>29</v>
      </c>
      <c r="G13" s="16" t="n">
        <v>1051.2</v>
      </c>
      <c r="I13" s="6" t="inlineStr">
        <is>
          <t>Contingency: medium risk</t>
        </is>
      </c>
      <c r="J13" s="23" t="n">
        <v>0.15</v>
      </c>
    </row>
    <row r="14">
      <c r="B14" s="6" t="inlineStr">
        <is>
          <t>ml</t>
        </is>
      </c>
      <c r="C14" s="6" t="inlineStr">
        <is>
          <t>AI / ML Engineer</t>
        </is>
      </c>
      <c r="D14" s="16" t="n">
        <v>45</v>
      </c>
      <c r="E14" s="16" t="n">
        <v>42</v>
      </c>
      <c r="F14" s="16" t="n">
        <v>37</v>
      </c>
      <c r="G14" s="16" t="n">
        <v>927.4</v>
      </c>
      <c r="I14" s="6" t="inlineStr">
        <is>
          <t>Contingency: high risk</t>
        </is>
      </c>
      <c r="J14" s="23" t="n">
        <v>0.25</v>
      </c>
    </row>
    <row r="15">
      <c r="B15" s="6" t="inlineStr">
        <is>
          <t>lead</t>
        </is>
      </c>
      <c r="C15" s="6" t="inlineStr">
        <is>
          <t>Tech Lead / Architect</t>
        </is>
      </c>
      <c r="D15" s="16" t="n">
        <v>45</v>
      </c>
      <c r="E15" s="16" t="n">
        <v>42</v>
      </c>
      <c r="F15" s="16" t="n">
        <v>37</v>
      </c>
      <c r="G15" s="16" t="n">
        <v>2186.3</v>
      </c>
      <c r="I15" s="6" t="inlineStr">
        <is>
          <t>Fixed-price risk premium</t>
        </is>
      </c>
      <c r="J15" s="23" t="n">
        <v>0.12</v>
      </c>
    </row>
    <row r="16">
      <c r="B16" s="9" t="inlineStr">
        <is>
          <t>Billing rates per hour from the demo rate card (data/seed/rate_card.json, as of 2026-10-01).</t>
        </is>
      </c>
      <c r="I16" s="6" t="inlineStr">
        <is>
          <t>Margin floor</t>
        </is>
      </c>
      <c r="J16" s="23" t="n">
        <v>0.35</v>
      </c>
    </row>
    <row r="17">
      <c r="I17" s="6" t="inlineStr">
        <is>
          <t>Target margin</t>
        </is>
      </c>
      <c r="J17" s="23" t="n">
        <v>0.5</v>
      </c>
    </row>
    <row r="18">
      <c r="I18" s="6" t="inlineStr">
        <is>
          <t>Discount without director approval (max)</t>
        </is>
      </c>
      <c r="J18" s="23" t="n">
        <v>0.05</v>
      </c>
    </row>
    <row r="19">
      <c r="I19" s="6" t="inlineStr">
        <is>
          <t>Maximum discount</t>
        </is>
      </c>
      <c r="J19" s="23" t="n">
        <v>0.1</v>
      </c>
    </row>
    <row r="20">
      <c r="I20" s="6" t="inlineStr">
        <is>
          <t>Discovery weeks</t>
        </is>
      </c>
      <c r="J20" s="39" t="n">
        <v>2</v>
      </c>
    </row>
    <row r="21">
      <c r="I21" s="6" t="inlineStr">
        <is>
          <t>Stabilisation weeks</t>
        </is>
      </c>
      <c r="J21" s="39" t="n">
        <v>2</v>
      </c>
    </row>
    <row r="22">
      <c r="I22" s="6" t="inlineStr">
        <is>
          <t>Warranty (days)</t>
        </is>
      </c>
      <c r="J22" s="39" t="n">
        <v>60</v>
      </c>
    </row>
    <row r="23">
      <c r="I23" s="6" t="inlineStr">
        <is>
          <t>Hours per week</t>
        </is>
      </c>
      <c r="J23" s="39" t="n">
        <v>40</v>
      </c>
    </row>
    <row r="25">
      <c r="I25" s="40" t="inlineStr">
        <is>
          <t>Fixed-price payment milestones</t>
        </is>
      </c>
    </row>
    <row r="26">
      <c r="I26" s="6" t="inlineStr">
        <is>
          <t>Contract signature (mobilisation)</t>
        </is>
      </c>
      <c r="J26" s="23" t="n">
        <v>0.2</v>
      </c>
    </row>
    <row r="27">
      <c r="I27" s="6" t="inlineStr">
        <is>
          <t>Design + architecture sign-off</t>
        </is>
      </c>
      <c r="J27" s="23" t="n">
        <v>0.2</v>
      </c>
    </row>
    <row r="28">
      <c r="I28" s="6" t="inlineStr">
        <is>
          <t>Beta / UAT release</t>
        </is>
      </c>
      <c r="J28" s="23" t="n">
        <v>0.4</v>
      </c>
    </row>
    <row r="29">
      <c r="I29" s="6" t="inlineStr">
        <is>
          <t>Go-live</t>
        </is>
      </c>
      <c r="J29" s="23" t="n">
        <v>0.2</v>
      </c>
    </row>
    <row r="31">
      <c r="I31" s="9" t="inlineStr">
        <is>
          <t>T&amp;M billing: Monthly in arrears against approved timesheets</t>
        </is>
      </c>
    </row>
  </sheetData>
  <pageMargins left="0.75" right="0.75" top="1" bottom="1" header="0.5" footer="0.5"/>
  <legacyDrawing xmlns:r="http://schemas.openxmlformats.org/officeDocument/2006/relationships" r:id="anysvml"/>
</worksheet>
</file>

<file path=xl/worksheets/sheet6.xml><?xml version="1.0" encoding="utf-8"?>
<worksheet xmlns="http://schemas.openxmlformats.org/spreadsheetml/2006/main">
  <sheetPr>
    <outlinePr summaryBelow="1" summaryRight="1"/>
    <pageSetUpPr/>
  </sheetPr>
  <dimension ref="A1:T59"/>
  <sheetViews>
    <sheetView showGridLines="0" workbookViewId="0">
      <pane xSplit="2" ySplit="3" topLeftCell="C4" activePane="bottomRight" state="frozen"/>
      <selection pane="topRight"/>
      <selection pane="bottomLeft"/>
      <selection pane="bottomRight" activeCell="A1" sqref="A1"/>
    </sheetView>
  </sheetViews>
  <sheetFormatPr baseColWidth="8" defaultRowHeight="15"/>
  <cols>
    <col width="8" customWidth="1" min="1" max="1"/>
    <col width="22" customWidth="1" min="2" max="2"/>
    <col width="10" customWidth="1" min="3" max="3"/>
    <col width="26" customWidth="1" min="4" max="4"/>
    <col width="9" customWidth="1" min="5" max="5"/>
    <col width="9" customWidth="1" min="6" max="6"/>
    <col width="6" customWidth="1" min="7" max="7"/>
    <col width="48" customWidth="1" min="8" max="8"/>
    <col width="7" customWidth="1" min="9" max="9"/>
    <col width="7" customWidth="1" min="10" max="10"/>
    <col width="7" customWidth="1" min="11" max="11"/>
    <col width="7" customWidth="1" min="12" max="12"/>
    <col width="7" customWidth="1" min="13" max="13"/>
    <col width="7" customWidth="1" min="14" max="14"/>
    <col width="7" customWidth="1" min="15" max="15"/>
    <col width="7" customWidth="1" min="16" max="16"/>
    <col width="7" customWidth="1" min="17" max="17"/>
    <col width="7" customWidth="1" min="18" max="18"/>
    <col width="7" customWidth="1" min="19" max="19"/>
    <col width="7" customWidth="1" min="20" max="20"/>
  </cols>
  <sheetData>
    <row r="1">
      <c r="A1" s="22" t="inlineStr">
        <is>
          <t>People and free capacity per week (demo). 100 = fully free; planned leave counts as busy.</t>
        </is>
      </c>
    </row>
    <row r="3">
      <c r="A3" s="14" t="inlineStr">
        <is>
          <t>ID</t>
        </is>
      </c>
      <c r="B3" s="14" t="inlineStr">
        <is>
          <t>Name</t>
        </is>
      </c>
      <c r="C3" s="14" t="inlineStr">
        <is>
          <t>Role</t>
        </is>
      </c>
      <c r="D3" s="14" t="inlineStr">
        <is>
          <t>Title</t>
        </is>
      </c>
      <c r="E3" s="14" t="inlineStr">
        <is>
          <t>Level</t>
        </is>
      </c>
      <c r="F3" s="14" t="inlineStr">
        <is>
          <t>Office</t>
        </is>
      </c>
      <c r="G3" s="14" t="inlineStr">
        <is>
          <t>Years</t>
        </is>
      </c>
      <c r="H3" s="14" t="inlineStr">
        <is>
          <t>Skills</t>
        </is>
      </c>
      <c r="I3" s="14" t="inlineStr">
        <is>
          <t>26 Oct</t>
        </is>
      </c>
      <c r="J3" s="14" t="inlineStr">
        <is>
          <t>02 Nov</t>
        </is>
      </c>
      <c r="K3" s="14" t="inlineStr">
        <is>
          <t>09 Nov</t>
        </is>
      </c>
      <c r="L3" s="14" t="inlineStr">
        <is>
          <t>16 Nov</t>
        </is>
      </c>
      <c r="M3" s="14" t="inlineStr">
        <is>
          <t>23 Nov</t>
        </is>
      </c>
      <c r="N3" s="14" t="inlineStr">
        <is>
          <t>30 Nov</t>
        </is>
      </c>
      <c r="O3" s="14" t="inlineStr">
        <is>
          <t>07 Dec</t>
        </is>
      </c>
      <c r="P3" s="14" t="inlineStr">
        <is>
          <t>14 Dec</t>
        </is>
      </c>
      <c r="Q3" s="14" t="inlineStr">
        <is>
          <t>21 Dec</t>
        </is>
      </c>
      <c r="R3" s="14" t="inlineStr">
        <is>
          <t>28 Dec</t>
        </is>
      </c>
      <c r="S3" s="14" t="inlineStr">
        <is>
          <t>04 Jan</t>
        </is>
      </c>
      <c r="T3" s="14" t="inlineStr">
        <is>
          <t>11 Jan</t>
        </is>
      </c>
    </row>
    <row r="4">
      <c r="A4" s="6" t="inlineStr">
        <is>
          <t>E005</t>
        </is>
      </c>
      <c r="B4" s="6" t="inlineStr">
        <is>
          <t>Aditya Deshmukh</t>
        </is>
      </c>
      <c r="C4" s="6" t="inlineStr">
        <is>
          <t>ba</t>
        </is>
      </c>
      <c r="D4" s="6" t="inlineStr">
        <is>
          <t>Mid Business Analyst</t>
        </is>
      </c>
      <c r="E4" s="6" t="inlineStr">
        <is>
          <t>Mid</t>
        </is>
      </c>
      <c r="F4" s="6" t="inlineStr">
        <is>
          <t>Indore</t>
        </is>
      </c>
      <c r="G4" s="6" t="n">
        <v>4</v>
      </c>
      <c r="H4" s="6" t="inlineStr">
        <is>
          <t>User stories, Power BI, Process mapping, Healthcare domain</t>
        </is>
      </c>
      <c r="I4" s="41" t="n">
        <v>50</v>
      </c>
      <c r="J4" s="41" t="n">
        <v>50</v>
      </c>
      <c r="K4" s="41" t="n">
        <v>50</v>
      </c>
      <c r="L4" s="41" t="n">
        <v>50</v>
      </c>
      <c r="M4" s="41" t="n">
        <v>50</v>
      </c>
      <c r="N4" s="41" t="n">
        <v>50</v>
      </c>
      <c r="O4" s="41" t="n">
        <v>50</v>
      </c>
      <c r="P4" s="41" t="n">
        <v>50</v>
      </c>
      <c r="Q4" s="41" t="n">
        <v>50</v>
      </c>
      <c r="R4" s="41" t="n">
        <v>0</v>
      </c>
      <c r="S4" s="41" t="n">
        <v>0</v>
      </c>
      <c r="T4" s="41" t="n">
        <v>0</v>
      </c>
    </row>
    <row r="5">
      <c r="A5" s="6" t="inlineStr">
        <is>
          <t>E006</t>
        </is>
      </c>
      <c r="B5" s="6" t="inlineStr">
        <is>
          <t>Yash Bhatt</t>
        </is>
      </c>
      <c r="C5" s="6" t="inlineStr">
        <is>
          <t>ba</t>
        </is>
      </c>
      <c r="D5" s="6" t="inlineStr">
        <is>
          <t>Senior Business Analyst</t>
        </is>
      </c>
      <c r="E5" s="6" t="inlineStr">
        <is>
          <t>Senior</t>
        </is>
      </c>
      <c r="F5" s="6" t="inlineStr">
        <is>
          <t>Pune</t>
        </is>
      </c>
      <c r="G5" s="6" t="n">
        <v>11</v>
      </c>
      <c r="H5" s="6" t="inlineStr">
        <is>
          <t>Figma, SQL, Healthcare domain, User stories, Power BI</t>
        </is>
      </c>
      <c r="I5" s="41" t="n">
        <v>50</v>
      </c>
      <c r="J5" s="41" t="n">
        <v>50</v>
      </c>
      <c r="K5" s="41" t="n">
        <v>50</v>
      </c>
      <c r="L5" s="41" t="n">
        <v>50</v>
      </c>
      <c r="M5" s="41" t="n">
        <v>50</v>
      </c>
      <c r="N5" s="41" t="n">
        <v>50</v>
      </c>
      <c r="O5" s="41" t="n">
        <v>50</v>
      </c>
      <c r="P5" s="41" t="n">
        <v>50</v>
      </c>
      <c r="Q5" s="41" t="n">
        <v>50</v>
      </c>
      <c r="R5" s="41" t="n">
        <v>50</v>
      </c>
      <c r="S5" s="41" t="n">
        <v>50</v>
      </c>
      <c r="T5" s="41" t="n">
        <v>50</v>
      </c>
    </row>
    <row r="6">
      <c r="A6" s="6" t="inlineStr">
        <is>
          <t>E007</t>
        </is>
      </c>
      <c r="B6" s="6" t="inlineStr">
        <is>
          <t>Swati Solanki</t>
        </is>
      </c>
      <c r="C6" s="6" t="inlineStr">
        <is>
          <t>ba</t>
        </is>
      </c>
      <c r="D6" s="6" t="inlineStr">
        <is>
          <t>Mid Business Analyst</t>
        </is>
      </c>
      <c r="E6" s="6" t="inlineStr">
        <is>
          <t>Mid</t>
        </is>
      </c>
      <c r="F6" s="6" t="inlineStr">
        <is>
          <t>Bhopal</t>
        </is>
      </c>
      <c r="G6" s="6" t="n">
        <v>6</v>
      </c>
      <c r="H6" s="6" t="inlineStr">
        <is>
          <t>Requirements, Fintech domain, Process mapping, Power BI</t>
        </is>
      </c>
      <c r="I6" s="41" t="n">
        <v>50</v>
      </c>
      <c r="J6" s="41" t="n">
        <v>50</v>
      </c>
      <c r="K6" s="41" t="n">
        <v>50</v>
      </c>
      <c r="L6" s="41" t="n">
        <v>50</v>
      </c>
      <c r="M6" s="41" t="n">
        <v>100</v>
      </c>
      <c r="N6" s="41" t="n">
        <v>100</v>
      </c>
      <c r="O6" s="41" t="n">
        <v>100</v>
      </c>
      <c r="P6" s="41" t="n">
        <v>100</v>
      </c>
      <c r="Q6" s="41" t="n">
        <v>100</v>
      </c>
      <c r="R6" s="41" t="n">
        <v>100</v>
      </c>
      <c r="S6" s="41" t="n">
        <v>100</v>
      </c>
      <c r="T6" s="41" t="n">
        <v>100</v>
      </c>
    </row>
    <row r="7">
      <c r="A7" s="6" t="inlineStr">
        <is>
          <t>E019</t>
        </is>
      </c>
      <c r="B7" s="6" t="inlineStr">
        <is>
          <t>Vivek Porwal</t>
        </is>
      </c>
      <c r="C7" s="6" t="inlineStr">
        <is>
          <t>be</t>
        </is>
      </c>
      <c r="D7" s="6" t="inlineStr">
        <is>
          <t>Senior Backend Developer</t>
        </is>
      </c>
      <c r="E7" s="6" t="inlineStr">
        <is>
          <t>Senior</t>
        </is>
      </c>
      <c r="F7" s="6" t="inlineStr">
        <is>
          <t>Indore</t>
        </is>
      </c>
      <c r="G7" s="6" t="n">
        <v>9</v>
      </c>
      <c r="H7" s="6" t="inlineStr">
        <is>
          <t>Salesforce API, Redis, Django, FastAPI, Node.js</t>
        </is>
      </c>
      <c r="I7" s="41" t="n">
        <v>0</v>
      </c>
      <c r="J7" s="41" t="n">
        <v>0</v>
      </c>
      <c r="K7" s="41" t="n">
        <v>0</v>
      </c>
      <c r="L7" s="41" t="n">
        <v>0</v>
      </c>
      <c r="M7" s="41" t="n">
        <v>100</v>
      </c>
      <c r="N7" s="41" t="n">
        <v>100</v>
      </c>
      <c r="O7" s="41" t="n">
        <v>100</v>
      </c>
      <c r="P7" s="41" t="n">
        <v>100</v>
      </c>
      <c r="Q7" s="41" t="n">
        <v>100</v>
      </c>
      <c r="R7" s="41" t="n">
        <v>100</v>
      </c>
      <c r="S7" s="41" t="n">
        <v>100</v>
      </c>
      <c r="T7" s="41" t="n">
        <v>100</v>
      </c>
    </row>
    <row r="8">
      <c r="A8" s="6" t="inlineStr">
        <is>
          <t>E020</t>
        </is>
      </c>
      <c r="B8" s="6" t="inlineStr">
        <is>
          <t>Rahul Parmar</t>
        </is>
      </c>
      <c r="C8" s="6" t="inlineStr">
        <is>
          <t>be</t>
        </is>
      </c>
      <c r="D8" s="6" t="inlineStr">
        <is>
          <t>Senior Backend Developer</t>
        </is>
      </c>
      <c r="E8" s="6" t="inlineStr">
        <is>
          <t>Senior</t>
        </is>
      </c>
      <c r="F8" s="6" t="inlineStr">
        <is>
          <t>Indore</t>
        </is>
      </c>
      <c r="G8" s="6" t="n">
        <v>9</v>
      </c>
      <c r="H8" s="6" t="inlineStr">
        <is>
          <t>ASP.NET MVC, REST APIs, Stripe, .NET Core, WebSockets</t>
        </is>
      </c>
      <c r="I8" s="41" t="n">
        <v>0</v>
      </c>
      <c r="J8" s="41" t="n">
        <v>0</v>
      </c>
      <c r="K8" s="41" t="n">
        <v>0</v>
      </c>
      <c r="L8" s="41" t="n">
        <v>0</v>
      </c>
      <c r="M8" s="41" t="n">
        <v>0</v>
      </c>
      <c r="N8" s="41" t="n">
        <v>0</v>
      </c>
      <c r="O8" s="41" t="n">
        <v>0</v>
      </c>
      <c r="P8" s="41" t="n">
        <v>0</v>
      </c>
      <c r="Q8" s="41" t="n">
        <v>0</v>
      </c>
      <c r="R8" s="41" t="n">
        <v>0</v>
      </c>
      <c r="S8" s="41" t="n">
        <v>0</v>
      </c>
      <c r="T8" s="41" t="n">
        <v>100</v>
      </c>
    </row>
    <row r="9">
      <c r="A9" s="6" t="inlineStr">
        <is>
          <t>E021</t>
        </is>
      </c>
      <c r="B9" s="6" t="inlineStr">
        <is>
          <t>Tushar Nair</t>
        </is>
      </c>
      <c r="C9" s="6" t="inlineStr">
        <is>
          <t>be</t>
        </is>
      </c>
      <c r="D9" s="6" t="inlineStr">
        <is>
          <t>Senior Backend Developer</t>
        </is>
      </c>
      <c r="E9" s="6" t="inlineStr">
        <is>
          <t>Senior</t>
        </is>
      </c>
      <c r="F9" s="6" t="inlineStr">
        <is>
          <t>Indore</t>
        </is>
      </c>
      <c r="G9" s="6" t="n">
        <v>6</v>
      </c>
      <c r="H9" s="6" t="inlineStr">
        <is>
          <t>.NET Core, PostgreSQL, SQL Server, GraphQL, Elasticsearch</t>
        </is>
      </c>
      <c r="I9" s="41" t="n">
        <v>0</v>
      </c>
      <c r="J9" s="41" t="n">
        <v>0</v>
      </c>
      <c r="K9" s="41" t="n">
        <v>0</v>
      </c>
      <c r="L9" s="41" t="n">
        <v>0</v>
      </c>
      <c r="M9" s="41" t="n">
        <v>100</v>
      </c>
      <c r="N9" s="41" t="n">
        <v>100</v>
      </c>
      <c r="O9" s="41" t="n">
        <v>100</v>
      </c>
      <c r="P9" s="41" t="n">
        <v>100</v>
      </c>
      <c r="Q9" s="41" t="n">
        <v>100</v>
      </c>
      <c r="R9" s="41" t="n">
        <v>100</v>
      </c>
      <c r="S9" s="41" t="n">
        <v>100</v>
      </c>
      <c r="T9" s="41" t="n">
        <v>100</v>
      </c>
    </row>
    <row r="10">
      <c r="A10" s="6" t="inlineStr">
        <is>
          <t>E022</t>
        </is>
      </c>
      <c r="B10" s="6" t="inlineStr">
        <is>
          <t>Tanvi Solanki</t>
        </is>
      </c>
      <c r="C10" s="6" t="inlineStr">
        <is>
          <t>be</t>
        </is>
      </c>
      <c r="D10" s="6" t="inlineStr">
        <is>
          <t>Mid Backend Developer</t>
        </is>
      </c>
      <c r="E10" s="6" t="inlineStr">
        <is>
          <t>Mid</t>
        </is>
      </c>
      <c r="F10" s="6" t="inlineStr">
        <is>
          <t>Bhopal</t>
        </is>
      </c>
      <c r="G10" s="6" t="n">
        <v>3</v>
      </c>
      <c r="H10" s="6" t="inlineStr">
        <is>
          <t>Python, .NET Core, Redis, Django</t>
        </is>
      </c>
      <c r="I10" s="41" t="n">
        <v>50</v>
      </c>
      <c r="J10" s="41" t="n">
        <v>50</v>
      </c>
      <c r="K10" s="41" t="n">
        <v>50</v>
      </c>
      <c r="L10" s="41" t="n">
        <v>50</v>
      </c>
      <c r="M10" s="41" t="n">
        <v>50</v>
      </c>
      <c r="N10" s="41" t="n">
        <v>50</v>
      </c>
      <c r="O10" s="41" t="n">
        <v>50</v>
      </c>
      <c r="P10" s="41" t="n">
        <v>50</v>
      </c>
      <c r="Q10" s="41" t="n">
        <v>0</v>
      </c>
      <c r="R10" s="41" t="n">
        <v>0</v>
      </c>
      <c r="S10" s="41" t="n">
        <v>50</v>
      </c>
      <c r="T10" s="41" t="n">
        <v>50</v>
      </c>
    </row>
    <row r="11">
      <c r="A11" s="6" t="inlineStr">
        <is>
          <t>E023</t>
        </is>
      </c>
      <c r="B11" s="6" t="inlineStr">
        <is>
          <t>Pooja Dixit</t>
        </is>
      </c>
      <c r="C11" s="6" t="inlineStr">
        <is>
          <t>be</t>
        </is>
      </c>
      <c r="D11" s="6" t="inlineStr">
        <is>
          <t>Senior Backend Developer</t>
        </is>
      </c>
      <c r="E11" s="6" t="inlineStr">
        <is>
          <t>Senior</t>
        </is>
      </c>
      <c r="F11" s="6" t="inlineStr">
        <is>
          <t>Indore</t>
        </is>
      </c>
      <c r="G11" s="6" t="n">
        <v>6</v>
      </c>
      <c r="H11" s="6" t="inlineStr">
        <is>
          <t>C#, WebSockets, MongoDB, Python, Twilio</t>
        </is>
      </c>
      <c r="I11" s="41" t="n">
        <v>0</v>
      </c>
      <c r="J11" s="41" t="n">
        <v>0</v>
      </c>
      <c r="K11" s="41" t="n">
        <v>0</v>
      </c>
      <c r="L11" s="41" t="n">
        <v>0</v>
      </c>
      <c r="M11" s="41" t="n">
        <v>0</v>
      </c>
      <c r="N11" s="41" t="n">
        <v>0</v>
      </c>
      <c r="O11" s="41" t="n">
        <v>0</v>
      </c>
      <c r="P11" s="41" t="n">
        <v>0</v>
      </c>
      <c r="Q11" s="41" t="n">
        <v>0</v>
      </c>
      <c r="R11" s="41" t="n">
        <v>0</v>
      </c>
      <c r="S11" s="41" t="n">
        <v>0</v>
      </c>
      <c r="T11" s="41" t="n">
        <v>0</v>
      </c>
    </row>
    <row r="12">
      <c r="A12" s="6" t="inlineStr">
        <is>
          <t>E024</t>
        </is>
      </c>
      <c r="B12" s="6" t="inlineStr">
        <is>
          <t>Pooja Sharma</t>
        </is>
      </c>
      <c r="C12" s="6" t="inlineStr">
        <is>
          <t>be</t>
        </is>
      </c>
      <c r="D12" s="6" t="inlineStr">
        <is>
          <t>Senior Backend Developer</t>
        </is>
      </c>
      <c r="E12" s="6" t="inlineStr">
        <is>
          <t>Senior</t>
        </is>
      </c>
      <c r="F12" s="6" t="inlineStr">
        <is>
          <t>Pune</t>
        </is>
      </c>
      <c r="G12" s="6" t="n">
        <v>11</v>
      </c>
      <c r="H12" s="6" t="inlineStr">
        <is>
          <t>PostgreSQL, Python, ASP.NET MVC, Twilio, SQL Server</t>
        </is>
      </c>
      <c r="I12" s="41" t="n">
        <v>50</v>
      </c>
      <c r="J12" s="41" t="n">
        <v>50</v>
      </c>
      <c r="K12" s="41" t="n">
        <v>50</v>
      </c>
      <c r="L12" s="41" t="n">
        <v>50</v>
      </c>
      <c r="M12" s="41" t="n">
        <v>50</v>
      </c>
      <c r="N12" s="41" t="n">
        <v>50</v>
      </c>
      <c r="O12" s="41" t="n">
        <v>50</v>
      </c>
      <c r="P12" s="41" t="n">
        <v>50</v>
      </c>
      <c r="Q12" s="41" t="n">
        <v>50</v>
      </c>
      <c r="R12" s="41" t="n">
        <v>50</v>
      </c>
      <c r="S12" s="41" t="n">
        <v>50</v>
      </c>
      <c r="T12" s="41" t="n">
        <v>50</v>
      </c>
    </row>
    <row r="13">
      <c r="A13" s="6" t="inlineStr">
        <is>
          <t>E025</t>
        </is>
      </c>
      <c r="B13" s="6" t="inlineStr">
        <is>
          <t>Pooja Tiwari</t>
        </is>
      </c>
      <c r="C13" s="6" t="inlineStr">
        <is>
          <t>be</t>
        </is>
      </c>
      <c r="D13" s="6" t="inlineStr">
        <is>
          <t>Mid Backend Developer</t>
        </is>
      </c>
      <c r="E13" s="6" t="inlineStr">
        <is>
          <t>Mid</t>
        </is>
      </c>
      <c r="F13" s="6" t="inlineStr">
        <is>
          <t>Bhopal</t>
        </is>
      </c>
      <c r="G13" s="6" t="n">
        <v>5</v>
      </c>
      <c r="H13" s="6" t="inlineStr">
        <is>
          <t>Python, Stripe, ASP.NET MVC, Twilio</t>
        </is>
      </c>
      <c r="I13" s="41" t="n">
        <v>0</v>
      </c>
      <c r="J13" s="41" t="n">
        <v>0</v>
      </c>
      <c r="K13" s="41" t="n">
        <v>0</v>
      </c>
      <c r="L13" s="41" t="n">
        <v>0</v>
      </c>
      <c r="M13" s="41" t="n">
        <v>0</v>
      </c>
      <c r="N13" s="41" t="n">
        <v>0</v>
      </c>
      <c r="O13" s="41" t="n">
        <v>0</v>
      </c>
      <c r="P13" s="41" t="n">
        <v>100</v>
      </c>
      <c r="Q13" s="41" t="n">
        <v>100</v>
      </c>
      <c r="R13" s="41" t="n">
        <v>100</v>
      </c>
      <c r="S13" s="41" t="n">
        <v>100</v>
      </c>
      <c r="T13" s="41" t="n">
        <v>100</v>
      </c>
    </row>
    <row r="14">
      <c r="A14" s="6" t="inlineStr">
        <is>
          <t>E026</t>
        </is>
      </c>
      <c r="B14" s="6" t="inlineStr">
        <is>
          <t>Akash Rajput</t>
        </is>
      </c>
      <c r="C14" s="6" t="inlineStr">
        <is>
          <t>be</t>
        </is>
      </c>
      <c r="D14" s="6" t="inlineStr">
        <is>
          <t>Mid Backend Developer</t>
        </is>
      </c>
      <c r="E14" s="6" t="inlineStr">
        <is>
          <t>Mid</t>
        </is>
      </c>
      <c r="F14" s="6" t="inlineStr">
        <is>
          <t>Indore</t>
        </is>
      </c>
      <c r="G14" s="6" t="n">
        <v>3</v>
      </c>
      <c r="H14" s="6" t="inlineStr">
        <is>
          <t>.NET Core, GraphQL, ASP.NET MVC, C#</t>
        </is>
      </c>
      <c r="I14" s="41" t="n">
        <v>0</v>
      </c>
      <c r="J14" s="41" t="n">
        <v>0</v>
      </c>
      <c r="K14" s="41" t="n">
        <v>0</v>
      </c>
      <c r="L14" s="41" t="n">
        <v>0</v>
      </c>
      <c r="M14" s="41" t="n">
        <v>0</v>
      </c>
      <c r="N14" s="41" t="n">
        <v>0</v>
      </c>
      <c r="O14" s="41" t="n">
        <v>0</v>
      </c>
      <c r="P14" s="41" t="n">
        <v>0</v>
      </c>
      <c r="Q14" s="41" t="n">
        <v>0</v>
      </c>
      <c r="R14" s="41" t="n">
        <v>0</v>
      </c>
      <c r="S14" s="41" t="n">
        <v>0</v>
      </c>
      <c r="T14" s="41" t="n">
        <v>0</v>
      </c>
    </row>
    <row r="15">
      <c r="A15" s="6" t="inlineStr">
        <is>
          <t>E027</t>
        </is>
      </c>
      <c r="B15" s="6" t="inlineStr">
        <is>
          <t>Aditya Patil</t>
        </is>
      </c>
      <c r="C15" s="6" t="inlineStr">
        <is>
          <t>be</t>
        </is>
      </c>
      <c r="D15" s="6" t="inlineStr">
        <is>
          <t>Mid Backend Developer</t>
        </is>
      </c>
      <c r="E15" s="6" t="inlineStr">
        <is>
          <t>Mid</t>
        </is>
      </c>
      <c r="F15" s="6" t="inlineStr">
        <is>
          <t>Indore</t>
        </is>
      </c>
      <c r="G15" s="6" t="n">
        <v>4</v>
      </c>
      <c r="H15" s="6" t="inlineStr">
        <is>
          <t>ASP.NET MVC, REST APIs, Python, Twilio</t>
        </is>
      </c>
      <c r="I15" s="41" t="n">
        <v>50</v>
      </c>
      <c r="J15" s="41" t="n">
        <v>50</v>
      </c>
      <c r="K15" s="41" t="n">
        <v>50</v>
      </c>
      <c r="L15" s="41" t="n">
        <v>50</v>
      </c>
      <c r="M15" s="41" t="n">
        <v>50</v>
      </c>
      <c r="N15" s="41" t="n">
        <v>50</v>
      </c>
      <c r="O15" s="41" t="n">
        <v>50</v>
      </c>
      <c r="P15" s="41" t="n">
        <v>50</v>
      </c>
      <c r="Q15" s="41" t="n">
        <v>50</v>
      </c>
      <c r="R15" s="41" t="n">
        <v>100</v>
      </c>
      <c r="S15" s="41" t="n">
        <v>100</v>
      </c>
      <c r="T15" s="41" t="n">
        <v>100</v>
      </c>
    </row>
    <row r="16">
      <c r="A16" s="6" t="inlineStr">
        <is>
          <t>E028</t>
        </is>
      </c>
      <c r="B16" s="6" t="inlineStr">
        <is>
          <t>Karan Rao</t>
        </is>
      </c>
      <c r="C16" s="6" t="inlineStr">
        <is>
          <t>be</t>
        </is>
      </c>
      <c r="D16" s="6" t="inlineStr">
        <is>
          <t>Senior Backend Developer</t>
        </is>
      </c>
      <c r="E16" s="6" t="inlineStr">
        <is>
          <t>Senior</t>
        </is>
      </c>
      <c r="F16" s="6" t="inlineStr">
        <is>
          <t>Pune</t>
        </is>
      </c>
      <c r="G16" s="6" t="n">
        <v>8</v>
      </c>
      <c r="H16" s="6" t="inlineStr">
        <is>
          <t>SQL Server, Salesforce API, Python, Redis, GraphQL</t>
        </is>
      </c>
      <c r="I16" s="41" t="n">
        <v>50</v>
      </c>
      <c r="J16" s="41" t="n">
        <v>50</v>
      </c>
      <c r="K16" s="41" t="n">
        <v>50</v>
      </c>
      <c r="L16" s="41" t="n">
        <v>50</v>
      </c>
      <c r="M16" s="41" t="n">
        <v>50</v>
      </c>
      <c r="N16" s="41" t="n">
        <v>50</v>
      </c>
      <c r="O16" s="41" t="n">
        <v>50</v>
      </c>
      <c r="P16" s="41" t="n">
        <v>50</v>
      </c>
      <c r="Q16" s="41" t="n">
        <v>50</v>
      </c>
      <c r="R16" s="41" t="n">
        <v>50</v>
      </c>
      <c r="S16" s="41" t="n">
        <v>50</v>
      </c>
      <c r="T16" s="41" t="n">
        <v>50</v>
      </c>
    </row>
    <row r="17">
      <c r="A17" s="6" t="inlineStr">
        <is>
          <t>E045</t>
        </is>
      </c>
      <c r="B17" s="6" t="inlineStr">
        <is>
          <t>Varsha Patidar</t>
        </is>
      </c>
      <c r="C17" s="6" t="inlineStr">
        <is>
          <t>data</t>
        </is>
      </c>
      <c r="D17" s="6" t="inlineStr">
        <is>
          <t>Mid Data / BI Engineer</t>
        </is>
      </c>
      <c r="E17" s="6" t="inlineStr">
        <is>
          <t>Mid</t>
        </is>
      </c>
      <c r="F17" s="6" t="inlineStr">
        <is>
          <t>Pune</t>
        </is>
      </c>
      <c r="G17" s="6" t="n">
        <v>6</v>
      </c>
      <c r="H17" s="6" t="inlineStr">
        <is>
          <t>SQL, Power BI, Snowflake, Spark</t>
        </is>
      </c>
      <c r="I17" s="41" t="n">
        <v>100</v>
      </c>
      <c r="J17" s="41" t="n">
        <v>100</v>
      </c>
      <c r="K17" s="41" t="n">
        <v>100</v>
      </c>
      <c r="L17" s="41" t="n">
        <v>100</v>
      </c>
      <c r="M17" s="41" t="n">
        <v>50</v>
      </c>
      <c r="N17" s="41" t="n">
        <v>50</v>
      </c>
      <c r="O17" s="41" t="n">
        <v>50</v>
      </c>
      <c r="P17" s="41" t="n">
        <v>50</v>
      </c>
      <c r="Q17" s="41" t="n">
        <v>50</v>
      </c>
      <c r="R17" s="41" t="n">
        <v>50</v>
      </c>
      <c r="S17" s="41" t="n">
        <v>50</v>
      </c>
      <c r="T17" s="41" t="n">
        <v>50</v>
      </c>
    </row>
    <row r="18">
      <c r="A18" s="6" t="inlineStr">
        <is>
          <t>E046</t>
        </is>
      </c>
      <c r="B18" s="6" t="inlineStr">
        <is>
          <t>Pooja Kothari</t>
        </is>
      </c>
      <c r="C18" s="6" t="inlineStr">
        <is>
          <t>data</t>
        </is>
      </c>
      <c r="D18" s="6" t="inlineStr">
        <is>
          <t>Mid Data / BI Engineer</t>
        </is>
      </c>
      <c r="E18" s="6" t="inlineStr">
        <is>
          <t>Mid</t>
        </is>
      </c>
      <c r="F18" s="6" t="inlineStr">
        <is>
          <t>Indore</t>
        </is>
      </c>
      <c r="G18" s="6" t="n">
        <v>6</v>
      </c>
      <c r="H18" s="6" t="inlineStr">
        <is>
          <t>Airflow, Spark, ETL, SQL</t>
        </is>
      </c>
      <c r="I18" s="41" t="n">
        <v>50</v>
      </c>
      <c r="J18" s="41" t="n">
        <v>50</v>
      </c>
      <c r="K18" s="41" t="n">
        <v>50</v>
      </c>
      <c r="L18" s="41" t="n">
        <v>50</v>
      </c>
      <c r="M18" s="41" t="n">
        <v>50</v>
      </c>
      <c r="N18" s="41" t="n">
        <v>50</v>
      </c>
      <c r="O18" s="41" t="n">
        <v>50</v>
      </c>
      <c r="P18" s="41" t="n">
        <v>100</v>
      </c>
      <c r="Q18" s="41" t="n">
        <v>100</v>
      </c>
      <c r="R18" s="41" t="n">
        <v>100</v>
      </c>
      <c r="S18" s="41" t="n">
        <v>100</v>
      </c>
      <c r="T18" s="41" t="n">
        <v>100</v>
      </c>
    </row>
    <row r="19">
      <c r="A19" s="6" t="inlineStr">
        <is>
          <t>E047</t>
        </is>
      </c>
      <c r="B19" s="6" t="inlineStr">
        <is>
          <t>Ankit Patidar</t>
        </is>
      </c>
      <c r="C19" s="6" t="inlineStr">
        <is>
          <t>data</t>
        </is>
      </c>
      <c r="D19" s="6" t="inlineStr">
        <is>
          <t>Mid Data / BI Engineer</t>
        </is>
      </c>
      <c r="E19" s="6" t="inlineStr">
        <is>
          <t>Mid</t>
        </is>
      </c>
      <c r="F19" s="6" t="inlineStr">
        <is>
          <t>Indore</t>
        </is>
      </c>
      <c r="G19" s="6" t="n">
        <v>3</v>
      </c>
      <c r="H19" s="6" t="inlineStr">
        <is>
          <t>Power BI, Tableau, AWS Glue, SQL</t>
        </is>
      </c>
      <c r="I19" s="41" t="n">
        <v>0</v>
      </c>
      <c r="J19" s="41" t="n">
        <v>0</v>
      </c>
      <c r="K19" s="41" t="n">
        <v>0</v>
      </c>
      <c r="L19" s="41" t="n">
        <v>0</v>
      </c>
      <c r="M19" s="41" t="n">
        <v>0</v>
      </c>
      <c r="N19" s="41" t="n">
        <v>0</v>
      </c>
      <c r="O19" s="41" t="n">
        <v>0</v>
      </c>
      <c r="P19" s="41" t="n">
        <v>100</v>
      </c>
      <c r="Q19" s="41" t="n">
        <v>100</v>
      </c>
      <c r="R19" s="41" t="n">
        <v>100</v>
      </c>
      <c r="S19" s="41" t="n">
        <v>100</v>
      </c>
      <c r="T19" s="41" t="n">
        <v>100</v>
      </c>
    </row>
    <row r="20">
      <c r="A20" s="6" t="inlineStr">
        <is>
          <t>E042</t>
        </is>
      </c>
      <c r="B20" s="6" t="inlineStr">
        <is>
          <t>Nikhil Parmar</t>
        </is>
      </c>
      <c r="C20" s="6" t="inlineStr">
        <is>
          <t>devops</t>
        </is>
      </c>
      <c r="D20" s="6" t="inlineStr">
        <is>
          <t>Junior DevOps / Cloud Engineer</t>
        </is>
      </c>
      <c r="E20" s="6" t="inlineStr">
        <is>
          <t>Junior</t>
        </is>
      </c>
      <c r="F20" s="6" t="inlineStr">
        <is>
          <t>Pune</t>
        </is>
      </c>
      <c r="G20" s="6" t="n">
        <v>1</v>
      </c>
      <c r="H20" s="6" t="inlineStr">
        <is>
          <t>CI/CD, Docker, Serverless</t>
        </is>
      </c>
      <c r="I20" s="41" t="n">
        <v>75</v>
      </c>
      <c r="J20" s="41" t="n">
        <v>75</v>
      </c>
      <c r="K20" s="41" t="n">
        <v>75</v>
      </c>
      <c r="L20" s="41" t="n">
        <v>75</v>
      </c>
      <c r="M20" s="41" t="n">
        <v>0</v>
      </c>
      <c r="N20" s="41" t="n">
        <v>0</v>
      </c>
      <c r="O20" s="41" t="n">
        <v>75</v>
      </c>
      <c r="P20" s="41" t="n">
        <v>75</v>
      </c>
      <c r="Q20" s="41" t="n">
        <v>75</v>
      </c>
      <c r="R20" s="41" t="n">
        <v>75</v>
      </c>
      <c r="S20" s="41" t="n">
        <v>75</v>
      </c>
      <c r="T20" s="41" t="n">
        <v>75</v>
      </c>
    </row>
    <row r="21">
      <c r="A21" s="6" t="inlineStr">
        <is>
          <t>E043</t>
        </is>
      </c>
      <c r="B21" s="6" t="inlineStr">
        <is>
          <t>Aarav Soni</t>
        </is>
      </c>
      <c r="C21" s="6" t="inlineStr">
        <is>
          <t>devops</t>
        </is>
      </c>
      <c r="D21" s="6" t="inlineStr">
        <is>
          <t>Junior DevOps / Cloud Engineer</t>
        </is>
      </c>
      <c r="E21" s="6" t="inlineStr">
        <is>
          <t>Junior</t>
        </is>
      </c>
      <c r="F21" s="6" t="inlineStr">
        <is>
          <t>Indore</t>
        </is>
      </c>
      <c r="G21" s="6" t="n">
        <v>2</v>
      </c>
      <c r="H21" s="6" t="inlineStr">
        <is>
          <t>AWS, Monitoring, Kubernetes</t>
        </is>
      </c>
      <c r="I21" s="41" t="n">
        <v>50</v>
      </c>
      <c r="J21" s="41" t="n">
        <v>50</v>
      </c>
      <c r="K21" s="41" t="n">
        <v>50</v>
      </c>
      <c r="L21" s="41" t="n">
        <v>50</v>
      </c>
      <c r="M21" s="41" t="n">
        <v>50</v>
      </c>
      <c r="N21" s="41" t="n">
        <v>50</v>
      </c>
      <c r="O21" s="41" t="n">
        <v>50</v>
      </c>
      <c r="P21" s="41" t="n">
        <v>100</v>
      </c>
      <c r="Q21" s="41" t="n">
        <v>100</v>
      </c>
      <c r="R21" s="41" t="n">
        <v>100</v>
      </c>
      <c r="S21" s="41" t="n">
        <v>100</v>
      </c>
      <c r="T21" s="41" t="n">
        <v>100</v>
      </c>
    </row>
    <row r="22">
      <c r="A22" s="6" t="inlineStr">
        <is>
          <t>E044</t>
        </is>
      </c>
      <c r="B22" s="6" t="inlineStr">
        <is>
          <t>Naveen Rajput</t>
        </is>
      </c>
      <c r="C22" s="6" t="inlineStr">
        <is>
          <t>devops</t>
        </is>
      </c>
      <c r="D22" s="6" t="inlineStr">
        <is>
          <t>Senior DevOps / Cloud Engineer</t>
        </is>
      </c>
      <c r="E22" s="6" t="inlineStr">
        <is>
          <t>Senior</t>
        </is>
      </c>
      <c r="F22" s="6" t="inlineStr">
        <is>
          <t>Indore</t>
        </is>
      </c>
      <c r="G22" s="6" t="n">
        <v>11</v>
      </c>
      <c r="H22" s="6" t="inlineStr">
        <is>
          <t>Serverless, Terraform, Monitoring, Kubernetes, Azure</t>
        </is>
      </c>
      <c r="I22" s="41" t="n">
        <v>75</v>
      </c>
      <c r="J22" s="41" t="n">
        <v>75</v>
      </c>
      <c r="K22" s="41" t="n">
        <v>75</v>
      </c>
      <c r="L22" s="41" t="n">
        <v>75</v>
      </c>
      <c r="M22" s="41" t="n">
        <v>75</v>
      </c>
      <c r="N22" s="41" t="n">
        <v>75</v>
      </c>
      <c r="O22" s="41" t="n">
        <v>75</v>
      </c>
      <c r="P22" s="41" t="n">
        <v>75</v>
      </c>
      <c r="Q22" s="41" t="n">
        <v>75</v>
      </c>
      <c r="R22" s="41" t="n">
        <v>75</v>
      </c>
      <c r="S22" s="41" t="n">
        <v>75</v>
      </c>
      <c r="T22" s="41" t="n">
        <v>75</v>
      </c>
    </row>
    <row r="23">
      <c r="A23" s="6" t="inlineStr">
        <is>
          <t>E011</t>
        </is>
      </c>
      <c r="B23" s="6" t="inlineStr">
        <is>
          <t>Jayesh Chouhan</t>
        </is>
      </c>
      <c r="C23" s="6" t="inlineStr">
        <is>
          <t>fe</t>
        </is>
      </c>
      <c r="D23" s="6" t="inlineStr">
        <is>
          <t>Mid Frontend Developer</t>
        </is>
      </c>
      <c r="E23" s="6" t="inlineStr">
        <is>
          <t>Mid</t>
        </is>
      </c>
      <c r="F23" s="6" t="inlineStr">
        <is>
          <t>Pune</t>
        </is>
      </c>
      <c r="G23" s="6" t="n">
        <v>4</v>
      </c>
      <c r="H23" s="6" t="inlineStr">
        <is>
          <t>Angular, Next.js, Redux, WordPress</t>
        </is>
      </c>
      <c r="I23" s="41" t="n">
        <v>100</v>
      </c>
      <c r="J23" s="41" t="n">
        <v>100</v>
      </c>
      <c r="K23" s="41" t="n">
        <v>100</v>
      </c>
      <c r="L23" s="41" t="n">
        <v>100</v>
      </c>
      <c r="M23" s="41" t="n">
        <v>100</v>
      </c>
      <c r="N23" s="41" t="n">
        <v>100</v>
      </c>
      <c r="O23" s="41" t="n">
        <v>100</v>
      </c>
      <c r="P23" s="41" t="n">
        <v>100</v>
      </c>
      <c r="Q23" s="41" t="n">
        <v>100</v>
      </c>
      <c r="R23" s="41" t="n">
        <v>100</v>
      </c>
      <c r="S23" s="41" t="n">
        <v>100</v>
      </c>
      <c r="T23" s="41" t="n">
        <v>100</v>
      </c>
    </row>
    <row r="24">
      <c r="A24" s="6" t="inlineStr">
        <is>
          <t>E012</t>
        </is>
      </c>
      <c r="B24" s="6" t="inlineStr">
        <is>
          <t>Komal Sinha</t>
        </is>
      </c>
      <c r="C24" s="6" t="inlineStr">
        <is>
          <t>fe</t>
        </is>
      </c>
      <c r="D24" s="6" t="inlineStr">
        <is>
          <t>Junior Frontend Developer</t>
        </is>
      </c>
      <c r="E24" s="6" t="inlineStr">
        <is>
          <t>Junior</t>
        </is>
      </c>
      <c r="F24" s="6" t="inlineStr">
        <is>
          <t>Pune</t>
        </is>
      </c>
      <c r="G24" s="6" t="n">
        <v>3</v>
      </c>
      <c r="H24" s="6" t="inlineStr">
        <is>
          <t>TypeScript, Angular, Accessibility (WCAG)</t>
        </is>
      </c>
      <c r="I24" s="41" t="n">
        <v>0</v>
      </c>
      <c r="J24" s="41" t="n">
        <v>0</v>
      </c>
      <c r="K24" s="41" t="n">
        <v>0</v>
      </c>
      <c r="L24" s="41" t="n">
        <v>0</v>
      </c>
      <c r="M24" s="41" t="n">
        <v>0</v>
      </c>
      <c r="N24" s="41" t="n">
        <v>0</v>
      </c>
      <c r="O24" s="41" t="n">
        <v>0</v>
      </c>
      <c r="P24" s="41" t="n">
        <v>0</v>
      </c>
      <c r="Q24" s="41" t="n">
        <v>0</v>
      </c>
      <c r="R24" s="41" t="n">
        <v>0</v>
      </c>
      <c r="S24" s="41" t="n">
        <v>0</v>
      </c>
      <c r="T24" s="41" t="n">
        <v>0</v>
      </c>
    </row>
    <row r="25">
      <c r="A25" s="6" t="inlineStr">
        <is>
          <t>E013</t>
        </is>
      </c>
      <c r="B25" s="6" t="inlineStr">
        <is>
          <t>Omkar Goyal</t>
        </is>
      </c>
      <c r="C25" s="6" t="inlineStr">
        <is>
          <t>fe</t>
        </is>
      </c>
      <c r="D25" s="6" t="inlineStr">
        <is>
          <t>Mid Frontend Developer</t>
        </is>
      </c>
      <c r="E25" s="6" t="inlineStr">
        <is>
          <t>Mid</t>
        </is>
      </c>
      <c r="F25" s="6" t="inlineStr">
        <is>
          <t>Bhopal</t>
        </is>
      </c>
      <c r="G25" s="6" t="n">
        <v>3</v>
      </c>
      <c r="H25" s="6" t="inlineStr">
        <is>
          <t>Next.js, Vue, Accessibility (WCAG), TypeScript</t>
        </is>
      </c>
      <c r="I25" s="41" t="n">
        <v>0</v>
      </c>
      <c r="J25" s="41" t="n">
        <v>0</v>
      </c>
      <c r="K25" s="41" t="n">
        <v>0</v>
      </c>
      <c r="L25" s="41" t="n">
        <v>0</v>
      </c>
      <c r="M25" s="41" t="n">
        <v>0</v>
      </c>
      <c r="N25" s="41" t="n">
        <v>0</v>
      </c>
      <c r="O25" s="41" t="n">
        <v>0</v>
      </c>
      <c r="P25" s="41" t="n">
        <v>0</v>
      </c>
      <c r="Q25" s="41" t="n">
        <v>0</v>
      </c>
      <c r="R25" s="41" t="n">
        <v>0</v>
      </c>
      <c r="S25" s="41" t="n">
        <v>0</v>
      </c>
      <c r="T25" s="41" t="n">
        <v>0</v>
      </c>
    </row>
    <row r="26">
      <c r="A26" s="6" t="inlineStr">
        <is>
          <t>E014</t>
        </is>
      </c>
      <c r="B26" s="6" t="inlineStr">
        <is>
          <t>Mohit Shukla</t>
        </is>
      </c>
      <c r="C26" s="6" t="inlineStr">
        <is>
          <t>fe</t>
        </is>
      </c>
      <c r="D26" s="6" t="inlineStr">
        <is>
          <t>Mid Frontend Developer</t>
        </is>
      </c>
      <c r="E26" s="6" t="inlineStr">
        <is>
          <t>Mid</t>
        </is>
      </c>
      <c r="F26" s="6" t="inlineStr">
        <is>
          <t>Bhopal</t>
        </is>
      </c>
      <c r="G26" s="6" t="n">
        <v>4</v>
      </c>
      <c r="H26" s="6" t="inlineStr">
        <is>
          <t>Vue, Tailwind, WordPress, Next.js</t>
        </is>
      </c>
      <c r="I26" s="41" t="n">
        <v>100</v>
      </c>
      <c r="J26" s="41" t="n">
        <v>100</v>
      </c>
      <c r="K26" s="41" t="n">
        <v>100</v>
      </c>
      <c r="L26" s="41" t="n">
        <v>100</v>
      </c>
      <c r="M26" s="41" t="n">
        <v>100</v>
      </c>
      <c r="N26" s="41" t="n">
        <v>100</v>
      </c>
      <c r="O26" s="41" t="n">
        <v>100</v>
      </c>
      <c r="P26" s="41" t="n">
        <v>100</v>
      </c>
      <c r="Q26" s="41" t="n">
        <v>100</v>
      </c>
      <c r="R26" s="41" t="n">
        <v>100</v>
      </c>
      <c r="S26" s="41" t="n">
        <v>100</v>
      </c>
      <c r="T26" s="41" t="n">
        <v>100</v>
      </c>
    </row>
    <row r="27">
      <c r="A27" s="6" t="inlineStr">
        <is>
          <t>E015</t>
        </is>
      </c>
      <c r="B27" s="6" t="inlineStr">
        <is>
          <t>Mohit Kaur</t>
        </is>
      </c>
      <c r="C27" s="6" t="inlineStr">
        <is>
          <t>fe</t>
        </is>
      </c>
      <c r="D27" s="6" t="inlineStr">
        <is>
          <t>Senior Frontend Developer</t>
        </is>
      </c>
      <c r="E27" s="6" t="inlineStr">
        <is>
          <t>Senior</t>
        </is>
      </c>
      <c r="F27" s="6" t="inlineStr">
        <is>
          <t>Bhopal</t>
        </is>
      </c>
      <c r="G27" s="6" t="n">
        <v>7</v>
      </c>
      <c r="H27" s="6" t="inlineStr">
        <is>
          <t>React, Next.js, Vue, TypeScript, Angular</t>
        </is>
      </c>
      <c r="I27" s="41" t="n">
        <v>50</v>
      </c>
      <c r="J27" s="41" t="n">
        <v>50</v>
      </c>
      <c r="K27" s="41" t="n">
        <v>50</v>
      </c>
      <c r="L27" s="41" t="n">
        <v>50</v>
      </c>
      <c r="M27" s="41" t="n">
        <v>50</v>
      </c>
      <c r="N27" s="41" t="n">
        <v>50</v>
      </c>
      <c r="O27" s="41" t="n">
        <v>50</v>
      </c>
      <c r="P27" s="41" t="n">
        <v>50</v>
      </c>
      <c r="Q27" s="41" t="n">
        <v>50</v>
      </c>
      <c r="R27" s="41" t="n">
        <v>50</v>
      </c>
      <c r="S27" s="41" t="n">
        <v>50</v>
      </c>
      <c r="T27" s="41" t="n">
        <v>50</v>
      </c>
    </row>
    <row r="28">
      <c r="A28" s="6" t="inlineStr">
        <is>
          <t>E016</t>
        </is>
      </c>
      <c r="B28" s="6" t="inlineStr">
        <is>
          <t>Nidhi Parmar</t>
        </is>
      </c>
      <c r="C28" s="6" t="inlineStr">
        <is>
          <t>fe</t>
        </is>
      </c>
      <c r="D28" s="6" t="inlineStr">
        <is>
          <t>Mid Frontend Developer</t>
        </is>
      </c>
      <c r="E28" s="6" t="inlineStr">
        <is>
          <t>Mid</t>
        </is>
      </c>
      <c r="F28" s="6" t="inlineStr">
        <is>
          <t>Indore</t>
        </is>
      </c>
      <c r="G28" s="6" t="n">
        <v>6</v>
      </c>
      <c r="H28" s="6" t="inlineStr">
        <is>
          <t>TypeScript, Vue, Redux, Tailwind</t>
        </is>
      </c>
      <c r="I28" s="41" t="n">
        <v>50</v>
      </c>
      <c r="J28" s="41" t="n">
        <v>50</v>
      </c>
      <c r="K28" s="41" t="n">
        <v>50</v>
      </c>
      <c r="L28" s="41" t="n">
        <v>50</v>
      </c>
      <c r="M28" s="41" t="n">
        <v>50</v>
      </c>
      <c r="N28" s="41" t="n">
        <v>50</v>
      </c>
      <c r="O28" s="41" t="n">
        <v>50</v>
      </c>
      <c r="P28" s="41" t="n">
        <v>50</v>
      </c>
      <c r="Q28" s="41" t="n">
        <v>50</v>
      </c>
      <c r="R28" s="41" t="n">
        <v>100</v>
      </c>
      <c r="S28" s="41" t="n">
        <v>100</v>
      </c>
      <c r="T28" s="41" t="n">
        <v>100</v>
      </c>
    </row>
    <row r="29">
      <c r="A29" s="6" t="inlineStr">
        <is>
          <t>E017</t>
        </is>
      </c>
      <c r="B29" s="6" t="inlineStr">
        <is>
          <t>Rakesh Gupta</t>
        </is>
      </c>
      <c r="C29" s="6" t="inlineStr">
        <is>
          <t>fe</t>
        </is>
      </c>
      <c r="D29" s="6" t="inlineStr">
        <is>
          <t>Senior Frontend Developer</t>
        </is>
      </c>
      <c r="E29" s="6" t="inlineStr">
        <is>
          <t>Senior</t>
        </is>
      </c>
      <c r="F29" s="6" t="inlineStr">
        <is>
          <t>Pune</t>
        </is>
      </c>
      <c r="G29" s="6" t="n">
        <v>9</v>
      </c>
      <c r="H29" s="6" t="inlineStr">
        <is>
          <t>Accessibility (WCAG), React, WordPress, Tailwind, Next.js</t>
        </is>
      </c>
      <c r="I29" s="41" t="n">
        <v>0</v>
      </c>
      <c r="J29" s="41" t="n">
        <v>0</v>
      </c>
      <c r="K29" s="41" t="n">
        <v>0</v>
      </c>
      <c r="L29" s="41" t="n">
        <v>0</v>
      </c>
      <c r="M29" s="41" t="n">
        <v>100</v>
      </c>
      <c r="N29" s="41" t="n">
        <v>100</v>
      </c>
      <c r="O29" s="41" t="n">
        <v>100</v>
      </c>
      <c r="P29" s="41" t="n">
        <v>100</v>
      </c>
      <c r="Q29" s="41" t="n">
        <v>100</v>
      </c>
      <c r="R29" s="41" t="n">
        <v>100</v>
      </c>
      <c r="S29" s="41" t="n">
        <v>100</v>
      </c>
      <c r="T29" s="41" t="n">
        <v>100</v>
      </c>
    </row>
    <row r="30">
      <c r="A30" s="6" t="inlineStr">
        <is>
          <t>E018</t>
        </is>
      </c>
      <c r="B30" s="6" t="inlineStr">
        <is>
          <t>Pooja Dubey</t>
        </is>
      </c>
      <c r="C30" s="6" t="inlineStr">
        <is>
          <t>fe</t>
        </is>
      </c>
      <c r="D30" s="6" t="inlineStr">
        <is>
          <t>Junior Frontend Developer</t>
        </is>
      </c>
      <c r="E30" s="6" t="inlineStr">
        <is>
          <t>Junior</t>
        </is>
      </c>
      <c r="F30" s="6" t="inlineStr">
        <is>
          <t>Indore</t>
        </is>
      </c>
      <c r="G30" s="6" t="n">
        <v>3</v>
      </c>
      <c r="H30" s="6" t="inlineStr">
        <is>
          <t>Next.js, Redux, Tailwind</t>
        </is>
      </c>
      <c r="I30" s="41" t="n">
        <v>50</v>
      </c>
      <c r="J30" s="41" t="n">
        <v>50</v>
      </c>
      <c r="K30" s="41" t="n">
        <v>50</v>
      </c>
      <c r="L30" s="41" t="n">
        <v>50</v>
      </c>
      <c r="M30" s="41" t="n">
        <v>50</v>
      </c>
      <c r="N30" s="41" t="n">
        <v>50</v>
      </c>
      <c r="O30" s="41" t="n">
        <v>50</v>
      </c>
      <c r="P30" s="41" t="n">
        <v>50</v>
      </c>
      <c r="Q30" s="41" t="n">
        <v>50</v>
      </c>
      <c r="R30" s="41" t="n">
        <v>50</v>
      </c>
      <c r="S30" s="41" t="n">
        <v>50</v>
      </c>
      <c r="T30" s="41" t="n">
        <v>50</v>
      </c>
    </row>
    <row r="31">
      <c r="A31" s="6" t="inlineStr">
        <is>
          <t>E051</t>
        </is>
      </c>
      <c r="B31" s="6" t="inlineStr">
        <is>
          <t>Vikram Gupta</t>
        </is>
      </c>
      <c r="C31" s="6" t="inlineStr">
        <is>
          <t>lead</t>
        </is>
      </c>
      <c r="D31" s="6" t="inlineStr">
        <is>
          <t>Tech Lead / Architect</t>
        </is>
      </c>
      <c r="E31" s="6" t="inlineStr">
        <is>
          <t>Lead</t>
        </is>
      </c>
      <c r="F31" s="6" t="inlineStr">
        <is>
          <t>Pune</t>
        </is>
      </c>
      <c r="G31" s="6" t="n">
        <v>16</v>
      </c>
      <c r="H31" s="6" t="inlineStr">
        <is>
          <t>.NET Core, Node.js, Security, Python, Microservices, Azure</t>
        </is>
      </c>
      <c r="I31" s="41" t="n">
        <v>75</v>
      </c>
      <c r="J31" s="41" t="n">
        <v>75</v>
      </c>
      <c r="K31" s="41" t="n">
        <v>75</v>
      </c>
      <c r="L31" s="41" t="n">
        <v>75</v>
      </c>
      <c r="M31" s="41" t="n">
        <v>75</v>
      </c>
      <c r="N31" s="41" t="n">
        <v>75</v>
      </c>
      <c r="O31" s="41" t="n">
        <v>75</v>
      </c>
      <c r="P31" s="41" t="n">
        <v>75</v>
      </c>
      <c r="Q31" s="41" t="n">
        <v>75</v>
      </c>
      <c r="R31" s="41" t="n">
        <v>75</v>
      </c>
      <c r="S31" s="41" t="n">
        <v>75</v>
      </c>
      <c r="T31" s="41" t="n">
        <v>75</v>
      </c>
    </row>
    <row r="32">
      <c r="A32" s="6" t="inlineStr">
        <is>
          <t>E052</t>
        </is>
      </c>
      <c r="B32" s="6" t="inlineStr">
        <is>
          <t>Manish Goyal</t>
        </is>
      </c>
      <c r="C32" s="6" t="inlineStr">
        <is>
          <t>lead</t>
        </is>
      </c>
      <c r="D32" s="6" t="inlineStr">
        <is>
          <t>Tech Lead / Architect</t>
        </is>
      </c>
      <c r="E32" s="6" t="inlineStr">
        <is>
          <t>Lead</t>
        </is>
      </c>
      <c r="F32" s="6" t="inlineStr">
        <is>
          <t>Indore</t>
        </is>
      </c>
      <c r="G32" s="6" t="n">
        <v>14</v>
      </c>
      <c r="H32" s="6" t="inlineStr">
        <is>
          <t>Python, Node.js, Azure, React, .NET Core, System design</t>
        </is>
      </c>
      <c r="I32" s="41" t="n">
        <v>50</v>
      </c>
      <c r="J32" s="41" t="n">
        <v>50</v>
      </c>
      <c r="K32" s="41" t="n">
        <v>50</v>
      </c>
      <c r="L32" s="41" t="n">
        <v>50</v>
      </c>
      <c r="M32" s="41" t="n">
        <v>100</v>
      </c>
      <c r="N32" s="41" t="n">
        <v>100</v>
      </c>
      <c r="O32" s="41" t="n">
        <v>100</v>
      </c>
      <c r="P32" s="41" t="n">
        <v>100</v>
      </c>
      <c r="Q32" s="41" t="n">
        <v>100</v>
      </c>
      <c r="R32" s="41" t="n">
        <v>100</v>
      </c>
      <c r="S32" s="41" t="n">
        <v>100</v>
      </c>
      <c r="T32" s="41" t="n">
        <v>100</v>
      </c>
    </row>
    <row r="33">
      <c r="A33" s="6" t="inlineStr">
        <is>
          <t>E053</t>
        </is>
      </c>
      <c r="B33" s="6" t="inlineStr">
        <is>
          <t>Komal Gupta</t>
        </is>
      </c>
      <c r="C33" s="6" t="inlineStr">
        <is>
          <t>lead</t>
        </is>
      </c>
      <c r="D33" s="6" t="inlineStr">
        <is>
          <t>Tech Lead / Architect</t>
        </is>
      </c>
      <c r="E33" s="6" t="inlineStr">
        <is>
          <t>Lead</t>
        </is>
      </c>
      <c r="F33" s="6" t="inlineStr">
        <is>
          <t>Indore</t>
        </is>
      </c>
      <c r="G33" s="6" t="n">
        <v>12</v>
      </c>
      <c r="H33" s="6" t="inlineStr">
        <is>
          <t>Azure, Microservices, Security, AWS, React, .NET Core</t>
        </is>
      </c>
      <c r="I33" s="41" t="n">
        <v>50</v>
      </c>
      <c r="J33" s="41" t="n">
        <v>50</v>
      </c>
      <c r="K33" s="41" t="n">
        <v>50</v>
      </c>
      <c r="L33" s="41" t="n">
        <v>50</v>
      </c>
      <c r="M33" s="41" t="n">
        <v>50</v>
      </c>
      <c r="N33" s="41" t="n">
        <v>50</v>
      </c>
      <c r="O33" s="41" t="n">
        <v>50</v>
      </c>
      <c r="P33" s="41" t="n">
        <v>50</v>
      </c>
      <c r="Q33" s="41" t="n">
        <v>0</v>
      </c>
      <c r="R33" s="41" t="n">
        <v>0</v>
      </c>
      <c r="S33" s="41" t="n">
        <v>50</v>
      </c>
      <c r="T33" s="41" t="n">
        <v>50</v>
      </c>
    </row>
    <row r="34">
      <c r="A34" s="6" t="inlineStr">
        <is>
          <t>E054</t>
        </is>
      </c>
      <c r="B34" s="6" t="inlineStr">
        <is>
          <t>Nidhi Raghuwanshi</t>
        </is>
      </c>
      <c r="C34" s="6" t="inlineStr">
        <is>
          <t>lead</t>
        </is>
      </c>
      <c r="D34" s="6" t="inlineStr">
        <is>
          <t>Tech Lead / Architect</t>
        </is>
      </c>
      <c r="E34" s="6" t="inlineStr">
        <is>
          <t>Lead</t>
        </is>
      </c>
      <c r="F34" s="6" t="inlineStr">
        <is>
          <t>Bhopal</t>
        </is>
      </c>
      <c r="G34" s="6" t="n">
        <v>12</v>
      </c>
      <c r="H34" s="6" t="inlineStr">
        <is>
          <t>Security, .NET Core, System design, Microservices, React, AWS</t>
        </is>
      </c>
      <c r="I34" s="41" t="n">
        <v>50</v>
      </c>
      <c r="J34" s="41" t="n">
        <v>50</v>
      </c>
      <c r="K34" s="41" t="n">
        <v>50</v>
      </c>
      <c r="L34" s="41" t="n">
        <v>50</v>
      </c>
      <c r="M34" s="41" t="n">
        <v>50</v>
      </c>
      <c r="N34" s="41" t="n">
        <v>50</v>
      </c>
      <c r="O34" s="41" t="n">
        <v>0</v>
      </c>
      <c r="P34" s="41" t="n">
        <v>0</v>
      </c>
      <c r="Q34" s="41" t="n">
        <v>50</v>
      </c>
      <c r="R34" s="41" t="n">
        <v>50</v>
      </c>
      <c r="S34" s="41" t="n">
        <v>50</v>
      </c>
      <c r="T34" s="41" t="n">
        <v>50</v>
      </c>
    </row>
    <row r="35">
      <c r="A35" s="6" t="inlineStr">
        <is>
          <t>E048</t>
        </is>
      </c>
      <c r="B35" s="6" t="inlineStr">
        <is>
          <t>Swati Malviya</t>
        </is>
      </c>
      <c r="C35" s="6" t="inlineStr">
        <is>
          <t>ml</t>
        </is>
      </c>
      <c r="D35" s="6" t="inlineStr">
        <is>
          <t>Mid AI / ML Engineer</t>
        </is>
      </c>
      <c r="E35" s="6" t="inlineStr">
        <is>
          <t>Mid</t>
        </is>
      </c>
      <c r="F35" s="6" t="inlineStr">
        <is>
          <t>Indore</t>
        </is>
      </c>
      <c r="G35" s="6" t="n">
        <v>5</v>
      </c>
      <c r="H35" s="6" t="inlineStr">
        <is>
          <t>MLOps, Python, Vector databases, LLM / RAG</t>
        </is>
      </c>
      <c r="I35" s="41" t="n">
        <v>0</v>
      </c>
      <c r="J35" s="41" t="n">
        <v>0</v>
      </c>
      <c r="K35" s="41" t="n">
        <v>0</v>
      </c>
      <c r="L35" s="41" t="n">
        <v>0</v>
      </c>
      <c r="M35" s="41" t="n">
        <v>0</v>
      </c>
      <c r="N35" s="41" t="n">
        <v>0</v>
      </c>
      <c r="O35" s="41" t="n">
        <v>0</v>
      </c>
      <c r="P35" s="41" t="n">
        <v>0</v>
      </c>
      <c r="Q35" s="41" t="n">
        <v>0</v>
      </c>
      <c r="R35" s="41" t="n">
        <v>0</v>
      </c>
      <c r="S35" s="41" t="n">
        <v>0</v>
      </c>
      <c r="T35" s="41" t="n">
        <v>100</v>
      </c>
    </row>
    <row r="36">
      <c r="A36" s="6" t="inlineStr">
        <is>
          <t>E049</t>
        </is>
      </c>
      <c r="B36" s="6" t="inlineStr">
        <is>
          <t>Manish Choudhary</t>
        </is>
      </c>
      <c r="C36" s="6" t="inlineStr">
        <is>
          <t>ml</t>
        </is>
      </c>
      <c r="D36" s="6" t="inlineStr">
        <is>
          <t>Mid AI / ML Engineer</t>
        </is>
      </c>
      <c r="E36" s="6" t="inlineStr">
        <is>
          <t>Mid</t>
        </is>
      </c>
      <c r="F36" s="6" t="inlineStr">
        <is>
          <t>Indore</t>
        </is>
      </c>
      <c r="G36" s="6" t="n">
        <v>6</v>
      </c>
      <c r="H36" s="6" t="inlineStr">
        <is>
          <t>OpenAI API, LangChain, Python, MLOps</t>
        </is>
      </c>
      <c r="I36" s="41" t="n">
        <v>0</v>
      </c>
      <c r="J36" s="41" t="n">
        <v>0</v>
      </c>
      <c r="K36" s="41" t="n">
        <v>0</v>
      </c>
      <c r="L36" s="41" t="n">
        <v>0</v>
      </c>
      <c r="M36" s="41" t="n">
        <v>0</v>
      </c>
      <c r="N36" s="41" t="n">
        <v>0</v>
      </c>
      <c r="O36" s="41" t="n">
        <v>0</v>
      </c>
      <c r="P36" s="41" t="n">
        <v>0</v>
      </c>
      <c r="Q36" s="41" t="n">
        <v>0</v>
      </c>
      <c r="R36" s="41" t="n">
        <v>100</v>
      </c>
      <c r="S36" s="41" t="n">
        <v>100</v>
      </c>
      <c r="T36" s="41" t="n">
        <v>100</v>
      </c>
    </row>
    <row r="37">
      <c r="A37" s="6" t="inlineStr">
        <is>
          <t>E050</t>
        </is>
      </c>
      <c r="B37" s="6" t="inlineStr">
        <is>
          <t>Abhishek Kulkarni</t>
        </is>
      </c>
      <c r="C37" s="6" t="inlineStr">
        <is>
          <t>ml</t>
        </is>
      </c>
      <c r="D37" s="6" t="inlineStr">
        <is>
          <t>Mid AI / ML Engineer</t>
        </is>
      </c>
      <c r="E37" s="6" t="inlineStr">
        <is>
          <t>Mid</t>
        </is>
      </c>
      <c r="F37" s="6" t="inlineStr">
        <is>
          <t>Pune</t>
        </is>
      </c>
      <c r="G37" s="6" t="n">
        <v>6</v>
      </c>
      <c r="H37" s="6" t="inlineStr">
        <is>
          <t>scikit-learn, OpenAI API, Python, LangChain</t>
        </is>
      </c>
      <c r="I37" s="41" t="n">
        <v>50</v>
      </c>
      <c r="J37" s="41" t="n">
        <v>50</v>
      </c>
      <c r="K37" s="41" t="n">
        <v>50</v>
      </c>
      <c r="L37" s="41" t="n">
        <v>50</v>
      </c>
      <c r="M37" s="41" t="n">
        <v>50</v>
      </c>
      <c r="N37" s="41" t="n">
        <v>50</v>
      </c>
      <c r="O37" s="41" t="n">
        <v>50</v>
      </c>
      <c r="P37" s="41" t="n">
        <v>50</v>
      </c>
      <c r="Q37" s="41" t="n">
        <v>50</v>
      </c>
      <c r="R37" s="41" t="n">
        <v>50</v>
      </c>
      <c r="S37" s="41" t="n">
        <v>50</v>
      </c>
      <c r="T37" s="41" t="n">
        <v>50</v>
      </c>
    </row>
    <row r="38">
      <c r="A38" s="6" t="inlineStr">
        <is>
          <t>E029</t>
        </is>
      </c>
      <c r="B38" s="6" t="inlineStr">
        <is>
          <t>Ritika Tiwari</t>
        </is>
      </c>
      <c r="C38" s="6" t="inlineStr">
        <is>
          <t>mobile</t>
        </is>
      </c>
      <c r="D38" s="6" t="inlineStr">
        <is>
          <t>Mid Mobile Developer</t>
        </is>
      </c>
      <c r="E38" s="6" t="inlineStr">
        <is>
          <t>Mid</t>
        </is>
      </c>
      <c r="F38" s="6" t="inlineStr">
        <is>
          <t>Pune</t>
        </is>
      </c>
      <c r="G38" s="6" t="n">
        <v>4</v>
      </c>
      <c r="H38" s="6" t="inlineStr">
        <is>
          <t>Kotlin, Offline sync, React Native, Google Maps SDK</t>
        </is>
      </c>
      <c r="I38" s="41" t="n">
        <v>100</v>
      </c>
      <c r="J38" s="41" t="n">
        <v>100</v>
      </c>
      <c r="K38" s="41" t="n">
        <v>100</v>
      </c>
      <c r="L38" s="41" t="n">
        <v>100</v>
      </c>
      <c r="M38" s="41" t="n">
        <v>100</v>
      </c>
      <c r="N38" s="41" t="n">
        <v>100</v>
      </c>
      <c r="O38" s="41" t="n">
        <v>100</v>
      </c>
      <c r="P38" s="41" t="n">
        <v>100</v>
      </c>
      <c r="Q38" s="41" t="n">
        <v>100</v>
      </c>
      <c r="R38" s="41" t="n">
        <v>100</v>
      </c>
      <c r="S38" s="41" t="n">
        <v>100</v>
      </c>
      <c r="T38" s="41" t="n">
        <v>100</v>
      </c>
    </row>
    <row r="39">
      <c r="A39" s="6" t="inlineStr">
        <is>
          <t>E030</t>
        </is>
      </c>
      <c r="B39" s="6" t="inlineStr">
        <is>
          <t>Prachi Patidar</t>
        </is>
      </c>
      <c r="C39" s="6" t="inlineStr">
        <is>
          <t>mobile</t>
        </is>
      </c>
      <c r="D39" s="6" t="inlineStr">
        <is>
          <t>Mid Mobile Developer</t>
        </is>
      </c>
      <c r="E39" s="6" t="inlineStr">
        <is>
          <t>Mid</t>
        </is>
      </c>
      <c r="F39" s="6" t="inlineStr">
        <is>
          <t>Indore</t>
        </is>
      </c>
      <c r="G39" s="6" t="n">
        <v>6</v>
      </c>
      <c r="H39" s="6" t="inlineStr">
        <is>
          <t>Kotlin, Firebase, React Native, Offline sync</t>
        </is>
      </c>
      <c r="I39" s="41" t="n">
        <v>0</v>
      </c>
      <c r="J39" s="41" t="n">
        <v>0</v>
      </c>
      <c r="K39" s="41" t="n">
        <v>0</v>
      </c>
      <c r="L39" s="41" t="n">
        <v>0</v>
      </c>
      <c r="M39" s="41" t="n">
        <v>0</v>
      </c>
      <c r="N39" s="41" t="n">
        <v>0</v>
      </c>
      <c r="O39" s="41" t="n">
        <v>0</v>
      </c>
      <c r="P39" s="41" t="n">
        <v>0</v>
      </c>
      <c r="Q39" s="41" t="n">
        <v>0</v>
      </c>
      <c r="R39" s="41" t="n">
        <v>0</v>
      </c>
      <c r="S39" s="41" t="n">
        <v>0</v>
      </c>
      <c r="T39" s="41" t="n">
        <v>0</v>
      </c>
    </row>
    <row r="40">
      <c r="A40" s="6" t="inlineStr">
        <is>
          <t>E031</t>
        </is>
      </c>
      <c r="B40" s="6" t="inlineStr">
        <is>
          <t>Naveen Iyer</t>
        </is>
      </c>
      <c r="C40" s="6" t="inlineStr">
        <is>
          <t>mobile</t>
        </is>
      </c>
      <c r="D40" s="6" t="inlineStr">
        <is>
          <t>Mid Mobile Developer</t>
        </is>
      </c>
      <c r="E40" s="6" t="inlineStr">
        <is>
          <t>Mid</t>
        </is>
      </c>
      <c r="F40" s="6" t="inlineStr">
        <is>
          <t>Indore</t>
        </is>
      </c>
      <c r="G40" s="6" t="n">
        <v>4</v>
      </c>
      <c r="H40" s="6" t="inlineStr">
        <is>
          <t>Offline sync, Flutter, Firebase, React Native</t>
        </is>
      </c>
      <c r="I40" s="41" t="n">
        <v>0</v>
      </c>
      <c r="J40" s="41" t="n">
        <v>0</v>
      </c>
      <c r="K40" s="41" t="n">
        <v>0</v>
      </c>
      <c r="L40" s="41" t="n">
        <v>0</v>
      </c>
      <c r="M40" s="41" t="n">
        <v>0</v>
      </c>
      <c r="N40" s="41" t="n">
        <v>0</v>
      </c>
      <c r="O40" s="41" t="n">
        <v>0</v>
      </c>
      <c r="P40" s="41" t="n">
        <v>0</v>
      </c>
      <c r="Q40" s="41" t="n">
        <v>0</v>
      </c>
      <c r="R40" s="41" t="n">
        <v>0</v>
      </c>
      <c r="S40" s="41" t="n">
        <v>0</v>
      </c>
      <c r="T40" s="41" t="n">
        <v>0</v>
      </c>
    </row>
    <row r="41">
      <c r="A41" s="6" t="inlineStr">
        <is>
          <t>E032</t>
        </is>
      </c>
      <c r="B41" s="6" t="inlineStr">
        <is>
          <t>Ritika Rao</t>
        </is>
      </c>
      <c r="C41" s="6" t="inlineStr">
        <is>
          <t>mobile</t>
        </is>
      </c>
      <c r="D41" s="6" t="inlineStr">
        <is>
          <t>Junior Mobile Developer</t>
        </is>
      </c>
      <c r="E41" s="6" t="inlineStr">
        <is>
          <t>Junior</t>
        </is>
      </c>
      <c r="F41" s="6" t="inlineStr">
        <is>
          <t>Indore</t>
        </is>
      </c>
      <c r="G41" s="6" t="n">
        <v>2</v>
      </c>
      <c r="H41" s="6" t="inlineStr">
        <is>
          <t>Swift, Kotlin, Google Maps SDK</t>
        </is>
      </c>
      <c r="I41" s="41" t="n">
        <v>0</v>
      </c>
      <c r="J41" s="41" t="n">
        <v>0</v>
      </c>
      <c r="K41" s="41" t="n">
        <v>0</v>
      </c>
      <c r="L41" s="41" t="n">
        <v>0</v>
      </c>
      <c r="M41" s="41" t="n">
        <v>0</v>
      </c>
      <c r="N41" s="41" t="n">
        <v>0</v>
      </c>
      <c r="O41" s="41" t="n">
        <v>0</v>
      </c>
      <c r="P41" s="41" t="n">
        <v>0</v>
      </c>
      <c r="Q41" s="41" t="n">
        <v>0</v>
      </c>
      <c r="R41" s="41" t="n">
        <v>0</v>
      </c>
      <c r="S41" s="41" t="n">
        <v>0</v>
      </c>
      <c r="T41" s="41" t="n">
        <v>100</v>
      </c>
    </row>
    <row r="42">
      <c r="A42" s="6" t="inlineStr">
        <is>
          <t>E033</t>
        </is>
      </c>
      <c r="B42" s="6" t="inlineStr">
        <is>
          <t>Swati Sethi</t>
        </is>
      </c>
      <c r="C42" s="6" t="inlineStr">
        <is>
          <t>mobile</t>
        </is>
      </c>
      <c r="D42" s="6" t="inlineStr">
        <is>
          <t>Mid Mobile Developer</t>
        </is>
      </c>
      <c r="E42" s="6" t="inlineStr">
        <is>
          <t>Mid</t>
        </is>
      </c>
      <c r="F42" s="6" t="inlineStr">
        <is>
          <t>Indore</t>
        </is>
      </c>
      <c r="G42" s="6" t="n">
        <v>4</v>
      </c>
      <c r="H42" s="6" t="inlineStr">
        <is>
          <t>Offline sync, React Native, Firebase, Google Maps SDK</t>
        </is>
      </c>
      <c r="I42" s="41" t="n">
        <v>0</v>
      </c>
      <c r="J42" s="41" t="n">
        <v>0</v>
      </c>
      <c r="K42" s="41" t="n">
        <v>0</v>
      </c>
      <c r="L42" s="41" t="n">
        <v>0</v>
      </c>
      <c r="M42" s="41" t="n">
        <v>0</v>
      </c>
      <c r="N42" s="41" t="n">
        <v>0</v>
      </c>
      <c r="O42" s="41" t="n">
        <v>0</v>
      </c>
      <c r="P42" s="41" t="n">
        <v>0</v>
      </c>
      <c r="Q42" s="41" t="n">
        <v>0</v>
      </c>
      <c r="R42" s="41" t="n">
        <v>0</v>
      </c>
      <c r="S42" s="41" t="n">
        <v>0</v>
      </c>
      <c r="T42" s="41" t="n">
        <v>0</v>
      </c>
    </row>
    <row r="43">
      <c r="A43" s="6" t="inlineStr">
        <is>
          <t>E034</t>
        </is>
      </c>
      <c r="B43" s="6" t="inlineStr">
        <is>
          <t>Vaishali Gupta</t>
        </is>
      </c>
      <c r="C43" s="6" t="inlineStr">
        <is>
          <t>mobile</t>
        </is>
      </c>
      <c r="D43" s="6" t="inlineStr">
        <is>
          <t>Junior Mobile Developer</t>
        </is>
      </c>
      <c r="E43" s="6" t="inlineStr">
        <is>
          <t>Junior</t>
        </is>
      </c>
      <c r="F43" s="6" t="inlineStr">
        <is>
          <t>Indore</t>
        </is>
      </c>
      <c r="G43" s="6" t="n">
        <v>1</v>
      </c>
      <c r="H43" s="6" t="inlineStr">
        <is>
          <t>React Native, Firebase, Kotlin</t>
        </is>
      </c>
      <c r="I43" s="41" t="n">
        <v>0</v>
      </c>
      <c r="J43" s="41" t="n">
        <v>0</v>
      </c>
      <c r="K43" s="41" t="n">
        <v>0</v>
      </c>
      <c r="L43" s="41" t="n">
        <v>0</v>
      </c>
      <c r="M43" s="41" t="n">
        <v>0</v>
      </c>
      <c r="N43" s="41" t="n">
        <v>0</v>
      </c>
      <c r="O43" s="41" t="n">
        <v>0</v>
      </c>
      <c r="P43" s="41" t="n">
        <v>0</v>
      </c>
      <c r="Q43" s="41" t="n">
        <v>0</v>
      </c>
      <c r="R43" s="41" t="n">
        <v>0</v>
      </c>
      <c r="S43" s="41" t="n">
        <v>0</v>
      </c>
      <c r="T43" s="41" t="n">
        <v>0</v>
      </c>
    </row>
    <row r="44">
      <c r="A44" s="6" t="inlineStr">
        <is>
          <t>E001</t>
        </is>
      </c>
      <c r="B44" s="6" t="inlineStr">
        <is>
          <t>Saurabh Bhargava</t>
        </is>
      </c>
      <c r="C44" s="6" t="inlineStr">
        <is>
          <t>pm</t>
        </is>
      </c>
      <c r="D44" s="6" t="inlineStr">
        <is>
          <t>Senior Project Manager</t>
        </is>
      </c>
      <c r="E44" s="6" t="inlineStr">
        <is>
          <t>Senior</t>
        </is>
      </c>
      <c r="F44" s="6" t="inlineStr">
        <is>
          <t>Pune</t>
        </is>
      </c>
      <c r="G44" s="6" t="n">
        <v>6</v>
      </c>
      <c r="H44" s="6" t="inlineStr">
        <is>
          <t>HIPAA, Agile, Risk management, GDPR, Scrum</t>
        </is>
      </c>
      <c r="I44" s="41" t="n">
        <v>50</v>
      </c>
      <c r="J44" s="41" t="n">
        <v>50</v>
      </c>
      <c r="K44" s="41" t="n">
        <v>50</v>
      </c>
      <c r="L44" s="41" t="n">
        <v>50</v>
      </c>
      <c r="M44" s="41" t="n">
        <v>50</v>
      </c>
      <c r="N44" s="41" t="n">
        <v>50</v>
      </c>
      <c r="O44" s="41" t="n">
        <v>50</v>
      </c>
      <c r="P44" s="41" t="n">
        <v>50</v>
      </c>
      <c r="Q44" s="41" t="n">
        <v>50</v>
      </c>
      <c r="R44" s="41" t="n">
        <v>50</v>
      </c>
      <c r="S44" s="41" t="n">
        <v>50</v>
      </c>
      <c r="T44" s="41" t="n">
        <v>50</v>
      </c>
    </row>
    <row r="45">
      <c r="A45" s="6" t="inlineStr">
        <is>
          <t>E002</t>
        </is>
      </c>
      <c r="B45" s="6" t="inlineStr">
        <is>
          <t>Rajat Dubey</t>
        </is>
      </c>
      <c r="C45" s="6" t="inlineStr">
        <is>
          <t>pm</t>
        </is>
      </c>
      <c r="D45" s="6" t="inlineStr">
        <is>
          <t>Lead Project Manager</t>
        </is>
      </c>
      <c r="E45" s="6" t="inlineStr">
        <is>
          <t>Lead</t>
        </is>
      </c>
      <c r="F45" s="6" t="inlineStr">
        <is>
          <t>Indore</t>
        </is>
      </c>
      <c r="G45" s="6" t="n">
        <v>12</v>
      </c>
      <c r="H45" s="6" t="inlineStr">
        <is>
          <t>Risk management, Scrum, Jira, HIPAA, Client communication, Agile</t>
        </is>
      </c>
      <c r="I45" s="41" t="n">
        <v>50</v>
      </c>
      <c r="J45" s="41" t="n">
        <v>50</v>
      </c>
      <c r="K45" s="41" t="n">
        <v>50</v>
      </c>
      <c r="L45" s="41" t="n">
        <v>50</v>
      </c>
      <c r="M45" s="41" t="n">
        <v>50</v>
      </c>
      <c r="N45" s="41" t="n">
        <v>50</v>
      </c>
      <c r="O45" s="41" t="n">
        <v>50</v>
      </c>
      <c r="P45" s="41" t="n">
        <v>100</v>
      </c>
      <c r="Q45" s="41" t="n">
        <v>100</v>
      </c>
      <c r="R45" s="41" t="n">
        <v>100</v>
      </c>
      <c r="S45" s="41" t="n">
        <v>100</v>
      </c>
      <c r="T45" s="41" t="n">
        <v>100</v>
      </c>
    </row>
    <row r="46">
      <c r="A46" s="6" t="inlineStr">
        <is>
          <t>E003</t>
        </is>
      </c>
      <c r="B46" s="6" t="inlineStr">
        <is>
          <t>Kriti Bhargava</t>
        </is>
      </c>
      <c r="C46" s="6" t="inlineStr">
        <is>
          <t>pm</t>
        </is>
      </c>
      <c r="D46" s="6" t="inlineStr">
        <is>
          <t>Senior Project Manager</t>
        </is>
      </c>
      <c r="E46" s="6" t="inlineStr">
        <is>
          <t>Senior</t>
        </is>
      </c>
      <c r="F46" s="6" t="inlineStr">
        <is>
          <t>Indore</t>
        </is>
      </c>
      <c r="G46" s="6" t="n">
        <v>10</v>
      </c>
      <c r="H46" s="6" t="inlineStr">
        <is>
          <t>HIPAA, Agile, Client communication, Jira, Risk management</t>
        </is>
      </c>
      <c r="I46" s="41" t="n">
        <v>50</v>
      </c>
      <c r="J46" s="41" t="n">
        <v>50</v>
      </c>
      <c r="K46" s="41" t="n">
        <v>50</v>
      </c>
      <c r="L46" s="41" t="n">
        <v>50</v>
      </c>
      <c r="M46" s="41" t="n">
        <v>50</v>
      </c>
      <c r="N46" s="41" t="n">
        <v>50</v>
      </c>
      <c r="O46" s="41" t="n">
        <v>50</v>
      </c>
      <c r="P46" s="41" t="n">
        <v>50</v>
      </c>
      <c r="Q46" s="41" t="n">
        <v>50</v>
      </c>
      <c r="R46" s="41" t="n">
        <v>50</v>
      </c>
      <c r="S46" s="41" t="n">
        <v>50</v>
      </c>
      <c r="T46" s="41" t="n">
        <v>100</v>
      </c>
    </row>
    <row r="47">
      <c r="A47" s="6" t="inlineStr">
        <is>
          <t>E004</t>
        </is>
      </c>
      <c r="B47" s="6" t="inlineStr">
        <is>
          <t>Rohan Raghuwanshi</t>
        </is>
      </c>
      <c r="C47" s="6" t="inlineStr">
        <is>
          <t>pm</t>
        </is>
      </c>
      <c r="D47" s="6" t="inlineStr">
        <is>
          <t>Senior Project Manager</t>
        </is>
      </c>
      <c r="E47" s="6" t="inlineStr">
        <is>
          <t>Senior</t>
        </is>
      </c>
      <c r="F47" s="6" t="inlineStr">
        <is>
          <t>Pune</t>
        </is>
      </c>
      <c r="G47" s="6" t="n">
        <v>10</v>
      </c>
      <c r="H47" s="6" t="inlineStr">
        <is>
          <t>Scrum, Jira, HIPAA, Agile, Risk management</t>
        </is>
      </c>
      <c r="I47" s="41" t="n">
        <v>50</v>
      </c>
      <c r="J47" s="41" t="n">
        <v>50</v>
      </c>
      <c r="K47" s="41" t="n">
        <v>50</v>
      </c>
      <c r="L47" s="41" t="n">
        <v>50</v>
      </c>
      <c r="M47" s="41" t="n">
        <v>50</v>
      </c>
      <c r="N47" s="41" t="n">
        <v>50</v>
      </c>
      <c r="O47" s="41" t="n">
        <v>50</v>
      </c>
      <c r="P47" s="41" t="n">
        <v>50</v>
      </c>
      <c r="Q47" s="41" t="n">
        <v>50</v>
      </c>
      <c r="R47" s="41" t="n">
        <v>50</v>
      </c>
      <c r="S47" s="41" t="n">
        <v>50</v>
      </c>
      <c r="T47" s="41" t="n">
        <v>50</v>
      </c>
    </row>
    <row r="48">
      <c r="A48" s="6" t="inlineStr">
        <is>
          <t>E035</t>
        </is>
      </c>
      <c r="B48" s="6" t="inlineStr">
        <is>
          <t>Bhavna Verma</t>
        </is>
      </c>
      <c r="C48" s="6" t="inlineStr">
        <is>
          <t>qa</t>
        </is>
      </c>
      <c r="D48" s="6" t="inlineStr">
        <is>
          <t>Mid QA Engineer</t>
        </is>
      </c>
      <c r="E48" s="6" t="inlineStr">
        <is>
          <t>Mid</t>
        </is>
      </c>
      <c r="F48" s="6" t="inlineStr">
        <is>
          <t>Indore</t>
        </is>
      </c>
      <c r="G48" s="6" t="n">
        <v>4</v>
      </c>
      <c r="H48" s="6" t="inlineStr">
        <is>
          <t>Security testing, API testing, Manual testing, Playwright</t>
        </is>
      </c>
      <c r="I48" s="41" t="n">
        <v>50</v>
      </c>
      <c r="J48" s="41" t="n">
        <v>50</v>
      </c>
      <c r="K48" s="41" t="n">
        <v>50</v>
      </c>
      <c r="L48" s="41" t="n">
        <v>50</v>
      </c>
      <c r="M48" s="41" t="n">
        <v>50</v>
      </c>
      <c r="N48" s="41" t="n">
        <v>0</v>
      </c>
      <c r="O48" s="41" t="n">
        <v>0</v>
      </c>
      <c r="P48" s="41" t="n">
        <v>50</v>
      </c>
      <c r="Q48" s="41" t="n">
        <v>50</v>
      </c>
      <c r="R48" s="41" t="n">
        <v>50</v>
      </c>
      <c r="S48" s="41" t="n">
        <v>50</v>
      </c>
      <c r="T48" s="41" t="n">
        <v>100</v>
      </c>
    </row>
    <row r="49">
      <c r="A49" s="6" t="inlineStr">
        <is>
          <t>E036</t>
        </is>
      </c>
      <c r="B49" s="6" t="inlineStr">
        <is>
          <t>Priya Solanki</t>
        </is>
      </c>
      <c r="C49" s="6" t="inlineStr">
        <is>
          <t>qa</t>
        </is>
      </c>
      <c r="D49" s="6" t="inlineStr">
        <is>
          <t>Senior QA Engineer</t>
        </is>
      </c>
      <c r="E49" s="6" t="inlineStr">
        <is>
          <t>Senior</t>
        </is>
      </c>
      <c r="F49" s="6" t="inlineStr">
        <is>
          <t>Bhopal</t>
        </is>
      </c>
      <c r="G49" s="6" t="n">
        <v>10</v>
      </c>
      <c r="H49" s="6" t="inlineStr">
        <is>
          <t>JMeter, Security testing, Playwright, API testing, Selenium</t>
        </is>
      </c>
      <c r="I49" s="41" t="n">
        <v>25</v>
      </c>
      <c r="J49" s="41" t="n">
        <v>25</v>
      </c>
      <c r="K49" s="41" t="n">
        <v>25</v>
      </c>
      <c r="L49" s="41" t="n">
        <v>25</v>
      </c>
      <c r="M49" s="41" t="n">
        <v>25</v>
      </c>
      <c r="N49" s="41" t="n">
        <v>25</v>
      </c>
      <c r="O49" s="41" t="n">
        <v>25</v>
      </c>
      <c r="P49" s="41" t="n">
        <v>25</v>
      </c>
      <c r="Q49" s="41" t="n">
        <v>25</v>
      </c>
      <c r="R49" s="41" t="n">
        <v>25</v>
      </c>
      <c r="S49" s="41" t="n">
        <v>25</v>
      </c>
      <c r="T49" s="41" t="n">
        <v>25</v>
      </c>
    </row>
    <row r="50">
      <c r="A50" s="6" t="inlineStr">
        <is>
          <t>E037</t>
        </is>
      </c>
      <c r="B50" s="6" t="inlineStr">
        <is>
          <t>Bhavna Goyal</t>
        </is>
      </c>
      <c r="C50" s="6" t="inlineStr">
        <is>
          <t>qa</t>
        </is>
      </c>
      <c r="D50" s="6" t="inlineStr">
        <is>
          <t>Mid QA Engineer</t>
        </is>
      </c>
      <c r="E50" s="6" t="inlineStr">
        <is>
          <t>Mid</t>
        </is>
      </c>
      <c r="F50" s="6" t="inlineStr">
        <is>
          <t>Indore</t>
        </is>
      </c>
      <c r="G50" s="6" t="n">
        <v>4</v>
      </c>
      <c r="H50" s="6" t="inlineStr">
        <is>
          <t>Selenium, Cypress, Appium, Playwright</t>
        </is>
      </c>
      <c r="I50" s="41" t="n">
        <v>50</v>
      </c>
      <c r="J50" s="41" t="n">
        <v>50</v>
      </c>
      <c r="K50" s="41" t="n">
        <v>50</v>
      </c>
      <c r="L50" s="41" t="n">
        <v>50</v>
      </c>
      <c r="M50" s="41" t="n">
        <v>50</v>
      </c>
      <c r="N50" s="41" t="n">
        <v>50</v>
      </c>
      <c r="O50" s="41" t="n">
        <v>50</v>
      </c>
      <c r="P50" s="41" t="n">
        <v>100</v>
      </c>
      <c r="Q50" s="41" t="n">
        <v>100</v>
      </c>
      <c r="R50" s="41" t="n">
        <v>100</v>
      </c>
      <c r="S50" s="41" t="n">
        <v>100</v>
      </c>
      <c r="T50" s="41" t="n">
        <v>100</v>
      </c>
    </row>
    <row r="51">
      <c r="A51" s="6" t="inlineStr">
        <is>
          <t>E038</t>
        </is>
      </c>
      <c r="B51" s="6" t="inlineStr">
        <is>
          <t>Ritika Solanki</t>
        </is>
      </c>
      <c r="C51" s="6" t="inlineStr">
        <is>
          <t>qa</t>
        </is>
      </c>
      <c r="D51" s="6" t="inlineStr">
        <is>
          <t>Senior QA Engineer</t>
        </is>
      </c>
      <c r="E51" s="6" t="inlineStr">
        <is>
          <t>Senior</t>
        </is>
      </c>
      <c r="F51" s="6" t="inlineStr">
        <is>
          <t>Indore</t>
        </is>
      </c>
      <c r="G51" s="6" t="n">
        <v>9</v>
      </c>
      <c r="H51" s="6" t="inlineStr">
        <is>
          <t>Cypress, Security testing, Selenium, Manual testing, API testing</t>
        </is>
      </c>
      <c r="I51" s="41" t="n">
        <v>50</v>
      </c>
      <c r="J51" s="41" t="n">
        <v>50</v>
      </c>
      <c r="K51" s="41" t="n">
        <v>50</v>
      </c>
      <c r="L51" s="41" t="n">
        <v>50</v>
      </c>
      <c r="M51" s="41" t="n">
        <v>50</v>
      </c>
      <c r="N51" s="41" t="n">
        <v>50</v>
      </c>
      <c r="O51" s="41" t="n">
        <v>50</v>
      </c>
      <c r="P51" s="41" t="n">
        <v>50</v>
      </c>
      <c r="Q51" s="41" t="n">
        <v>50</v>
      </c>
      <c r="R51" s="41" t="n">
        <v>50</v>
      </c>
      <c r="S51" s="41" t="n">
        <v>50</v>
      </c>
      <c r="T51" s="41" t="n">
        <v>50</v>
      </c>
    </row>
    <row r="52">
      <c r="A52" s="6" t="inlineStr">
        <is>
          <t>E039</t>
        </is>
      </c>
      <c r="B52" s="6" t="inlineStr">
        <is>
          <t>Gaurav Shinde</t>
        </is>
      </c>
      <c r="C52" s="6" t="inlineStr">
        <is>
          <t>qa</t>
        </is>
      </c>
      <c r="D52" s="6" t="inlineStr">
        <is>
          <t>Mid QA Engineer</t>
        </is>
      </c>
      <c r="E52" s="6" t="inlineStr">
        <is>
          <t>Mid</t>
        </is>
      </c>
      <c r="F52" s="6" t="inlineStr">
        <is>
          <t>Pune</t>
        </is>
      </c>
      <c r="G52" s="6" t="n">
        <v>3</v>
      </c>
      <c r="H52" s="6" t="inlineStr">
        <is>
          <t>API testing, Selenium, Security testing, Cypress</t>
        </is>
      </c>
      <c r="I52" s="41" t="n">
        <v>0</v>
      </c>
      <c r="J52" s="41" t="n">
        <v>0</v>
      </c>
      <c r="K52" s="41" t="n">
        <v>0</v>
      </c>
      <c r="L52" s="41" t="n">
        <v>0</v>
      </c>
      <c r="M52" s="41" t="n">
        <v>0</v>
      </c>
      <c r="N52" s="41" t="n">
        <v>0</v>
      </c>
      <c r="O52" s="41" t="n">
        <v>0</v>
      </c>
      <c r="P52" s="41" t="n">
        <v>0</v>
      </c>
      <c r="Q52" s="41" t="n">
        <v>0</v>
      </c>
      <c r="R52" s="41" t="n">
        <v>50</v>
      </c>
      <c r="S52" s="41" t="n">
        <v>50</v>
      </c>
      <c r="T52" s="41" t="n">
        <v>50</v>
      </c>
    </row>
    <row r="53">
      <c r="A53" s="6" t="inlineStr">
        <is>
          <t>E040</t>
        </is>
      </c>
      <c r="B53" s="6" t="inlineStr">
        <is>
          <t>Tarun Khandelwal</t>
        </is>
      </c>
      <c r="C53" s="6" t="inlineStr">
        <is>
          <t>qa</t>
        </is>
      </c>
      <c r="D53" s="6" t="inlineStr">
        <is>
          <t>Senior QA Engineer</t>
        </is>
      </c>
      <c r="E53" s="6" t="inlineStr">
        <is>
          <t>Senior</t>
        </is>
      </c>
      <c r="F53" s="6" t="inlineStr">
        <is>
          <t>Pune</t>
        </is>
      </c>
      <c r="G53" s="6" t="n">
        <v>11</v>
      </c>
      <c r="H53" s="6" t="inlineStr">
        <is>
          <t>API testing, Playwright, Selenium, Appium, Cypress</t>
        </is>
      </c>
      <c r="I53" s="41" t="n">
        <v>0</v>
      </c>
      <c r="J53" s="41" t="n">
        <v>0</v>
      </c>
      <c r="K53" s="41" t="n">
        <v>0</v>
      </c>
      <c r="L53" s="41" t="n">
        <v>0</v>
      </c>
      <c r="M53" s="41" t="n">
        <v>100</v>
      </c>
      <c r="N53" s="41" t="n">
        <v>100</v>
      </c>
      <c r="O53" s="41" t="n">
        <v>100</v>
      </c>
      <c r="P53" s="41" t="n">
        <v>0</v>
      </c>
      <c r="Q53" s="41" t="n">
        <v>0</v>
      </c>
      <c r="R53" s="41" t="n">
        <v>100</v>
      </c>
      <c r="S53" s="41" t="n">
        <v>100</v>
      </c>
      <c r="T53" s="41" t="n">
        <v>100</v>
      </c>
    </row>
    <row r="54">
      <c r="A54" s="6" t="inlineStr">
        <is>
          <t>E041</t>
        </is>
      </c>
      <c r="B54" s="6" t="inlineStr">
        <is>
          <t>Mohit Bhonsle</t>
        </is>
      </c>
      <c r="C54" s="6" t="inlineStr">
        <is>
          <t>qa</t>
        </is>
      </c>
      <c r="D54" s="6" t="inlineStr">
        <is>
          <t>Mid QA Engineer</t>
        </is>
      </c>
      <c r="E54" s="6" t="inlineStr">
        <is>
          <t>Mid</t>
        </is>
      </c>
      <c r="F54" s="6" t="inlineStr">
        <is>
          <t>Pune</t>
        </is>
      </c>
      <c r="G54" s="6" t="n">
        <v>3</v>
      </c>
      <c r="H54" s="6" t="inlineStr">
        <is>
          <t>Selenium, JMeter, API testing, Security testing</t>
        </is>
      </c>
      <c r="I54" s="41" t="n">
        <v>0</v>
      </c>
      <c r="J54" s="41" t="n">
        <v>0</v>
      </c>
      <c r="K54" s="41" t="n">
        <v>0</v>
      </c>
      <c r="L54" s="41" t="n">
        <v>0</v>
      </c>
      <c r="M54" s="41" t="n">
        <v>0</v>
      </c>
      <c r="N54" s="41" t="n">
        <v>0</v>
      </c>
      <c r="O54" s="41" t="n">
        <v>0</v>
      </c>
      <c r="P54" s="41" t="n">
        <v>0</v>
      </c>
      <c r="Q54" s="41" t="n">
        <v>0</v>
      </c>
      <c r="R54" s="41" t="n">
        <v>0</v>
      </c>
      <c r="S54" s="41" t="n">
        <v>0</v>
      </c>
      <c r="T54" s="41" t="n">
        <v>0</v>
      </c>
    </row>
    <row r="55">
      <c r="A55" s="6" t="inlineStr">
        <is>
          <t>E008</t>
        </is>
      </c>
      <c r="B55" s="6" t="inlineStr">
        <is>
          <t>Zoya Shukla</t>
        </is>
      </c>
      <c r="C55" s="6" t="inlineStr">
        <is>
          <t>uiux</t>
        </is>
      </c>
      <c r="D55" s="6" t="inlineStr">
        <is>
          <t>Senior UI/UX Designer</t>
        </is>
      </c>
      <c r="E55" s="6" t="inlineStr">
        <is>
          <t>Senior</t>
        </is>
      </c>
      <c r="F55" s="6" t="inlineStr">
        <is>
          <t>Pune</t>
        </is>
      </c>
      <c r="G55" s="6" t="n">
        <v>8</v>
      </c>
      <c r="H55" s="6" t="inlineStr">
        <is>
          <t>User research, Accessibility (WCAG), Design systems, Mobile UI, Prototyping</t>
        </is>
      </c>
      <c r="I55" s="41" t="n">
        <v>50</v>
      </c>
      <c r="J55" s="41" t="n">
        <v>50</v>
      </c>
      <c r="K55" s="41" t="n">
        <v>50</v>
      </c>
      <c r="L55" s="41" t="n">
        <v>50</v>
      </c>
      <c r="M55" s="41" t="n">
        <v>50</v>
      </c>
      <c r="N55" s="41" t="n">
        <v>50</v>
      </c>
      <c r="O55" s="41" t="n">
        <v>50</v>
      </c>
      <c r="P55" s="41" t="n">
        <v>50</v>
      </c>
      <c r="Q55" s="41" t="n">
        <v>50</v>
      </c>
      <c r="R55" s="41" t="n">
        <v>50</v>
      </c>
      <c r="S55" s="41" t="n">
        <v>50</v>
      </c>
      <c r="T55" s="41" t="n">
        <v>100</v>
      </c>
    </row>
    <row r="56">
      <c r="A56" s="6" t="inlineStr">
        <is>
          <t>E009</t>
        </is>
      </c>
      <c r="B56" s="6" t="inlineStr">
        <is>
          <t>Chirag Deshmukh</t>
        </is>
      </c>
      <c r="C56" s="6" t="inlineStr">
        <is>
          <t>uiux</t>
        </is>
      </c>
      <c r="D56" s="6" t="inlineStr">
        <is>
          <t>Junior UI/UX Designer</t>
        </is>
      </c>
      <c r="E56" s="6" t="inlineStr">
        <is>
          <t>Junior</t>
        </is>
      </c>
      <c r="F56" s="6" t="inlineStr">
        <is>
          <t>Bhopal</t>
        </is>
      </c>
      <c r="G56" s="6" t="n">
        <v>3</v>
      </c>
      <c r="H56" s="6" t="inlineStr">
        <is>
          <t>Accessibility (WCAG), User research, Figma</t>
        </is>
      </c>
      <c r="I56" s="41" t="n">
        <v>100</v>
      </c>
      <c r="J56" s="41" t="n">
        <v>100</v>
      </c>
      <c r="K56" s="41" t="n">
        <v>100</v>
      </c>
      <c r="L56" s="41" t="n">
        <v>100</v>
      </c>
      <c r="M56" s="41" t="n">
        <v>100</v>
      </c>
      <c r="N56" s="41" t="n">
        <v>100</v>
      </c>
      <c r="O56" s="41" t="n">
        <v>100</v>
      </c>
      <c r="P56" s="41" t="n">
        <v>100</v>
      </c>
      <c r="Q56" s="41" t="n">
        <v>100</v>
      </c>
      <c r="R56" s="41" t="n">
        <v>100</v>
      </c>
      <c r="S56" s="41" t="n">
        <v>100</v>
      </c>
      <c r="T56" s="41" t="n">
        <v>100</v>
      </c>
    </row>
    <row r="57">
      <c r="A57" s="6" t="inlineStr">
        <is>
          <t>E010</t>
        </is>
      </c>
      <c r="B57" s="6" t="inlineStr">
        <is>
          <t>Pooja Patidar</t>
        </is>
      </c>
      <c r="C57" s="6" t="inlineStr">
        <is>
          <t>uiux</t>
        </is>
      </c>
      <c r="D57" s="6" t="inlineStr">
        <is>
          <t>Senior UI/UX Designer</t>
        </is>
      </c>
      <c r="E57" s="6" t="inlineStr">
        <is>
          <t>Senior</t>
        </is>
      </c>
      <c r="F57" s="6" t="inlineStr">
        <is>
          <t>Pune</t>
        </is>
      </c>
      <c r="G57" s="6" t="n">
        <v>9</v>
      </c>
      <c r="H57" s="6" t="inlineStr">
        <is>
          <t>Figma, Mobile UI, Accessibility (WCAG), Design systems, Prototyping</t>
        </is>
      </c>
      <c r="I57" s="41" t="n">
        <v>50</v>
      </c>
      <c r="J57" s="41" t="n">
        <v>50</v>
      </c>
      <c r="K57" s="41" t="n">
        <v>50</v>
      </c>
      <c r="L57" s="41" t="n">
        <v>50</v>
      </c>
      <c r="M57" s="41" t="n">
        <v>50</v>
      </c>
      <c r="N57" s="41" t="n">
        <v>50</v>
      </c>
      <c r="O57" s="41" t="n">
        <v>50</v>
      </c>
      <c r="P57" s="41" t="n">
        <v>50</v>
      </c>
      <c r="Q57" s="41" t="n">
        <v>50</v>
      </c>
      <c r="R57" s="41" t="n">
        <v>50</v>
      </c>
      <c r="S57" s="41" t="n">
        <v>50</v>
      </c>
      <c r="T57" s="41" t="n">
        <v>50</v>
      </c>
    </row>
    <row r="59">
      <c r="A59" s="9" t="inlineStr">
        <is>
          <t>Week columns start on the date shown (Monday). Values: % of the person's week not booked on projects or leave, from the demo assignments file.</t>
        </is>
      </c>
    </row>
  </sheetData>
  <autoFilter ref="A3:T57"/>
  <conditionalFormatting sqref="I4:T57">
    <cfRule type="colorScale" priority="1">
      <colorScale>
        <cfvo type="num" val="0"/>
        <cfvo type="num" val="50"/>
        <cfvo type="num" val="100"/>
        <color rgb="00F4CCCC"/>
        <color rgb="00FFF2CC"/>
        <color rgb="00C9EBD3"/>
      </colorScale>
    </cfRule>
  </conditionalFormatting>
  <pageMargins left="0.75" right="0.75" top="1" bottom="1" header="0.5" footer="0.5"/>
</worksheet>
</file>

<file path=xl/worksheets/sheet7.xml><?xml version="1.0" encoding="utf-8"?>
<worksheet xmlns="http://schemas.openxmlformats.org/spreadsheetml/2006/main">
  <sheetPr>
    <outlinePr summaryBelow="1" summaryRight="1"/>
    <pageSetUpPr/>
  </sheetPr>
  <dimension ref="A1:N29"/>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16" customWidth="1" min="1" max="1"/>
    <col width="34" customWidth="1" min="2" max="2"/>
    <col width="10" customWidth="1" min="3" max="3"/>
    <col width="12" customWidth="1" min="4" max="4"/>
    <col width="9" customWidth="1" min="5" max="5"/>
    <col width="9" customWidth="1" min="6" max="6"/>
    <col width="9" customWidth="1" min="7" max="7"/>
    <col width="9" customWidth="1" min="8" max="8"/>
    <col width="9" customWidth="1" min="9" max="9"/>
    <col width="9" customWidth="1" min="10" max="10"/>
    <col width="9" customWidth="1" min="11" max="11"/>
    <col width="9" customWidth="1" min="12" max="12"/>
    <col width="9" customWidth="1" min="13" max="13"/>
    <col width="11" customWidth="1" min="14" max="14"/>
  </cols>
  <sheetData>
    <row r="1">
      <c r="A1" s="22" t="inlineStr">
        <is>
          <t>What past modules ACTUALLY took: median hours per role, normalised to medium complexity (demo)</t>
        </is>
      </c>
    </row>
    <row r="2">
      <c r="A2" s="9" t="inlineStr">
        <is>
          <t>Scale by complexity: low x0.6, medium x1.0, high x1.6. 'Overrun' = how far past estimates for this module were below actuals. Rows with 0 past projects show the catalog starting point instead.</t>
        </is>
      </c>
    </row>
    <row r="4">
      <c r="A4" s="14" t="inlineStr">
        <is>
          <t>Module key</t>
        </is>
      </c>
      <c r="B4" s="14" t="inlineStr">
        <is>
          <t>Module</t>
        </is>
      </c>
      <c r="C4" s="14" t="inlineStr">
        <is>
          <t>Past projects</t>
        </is>
      </c>
      <c r="D4" s="14" t="inlineStr">
        <is>
          <t>Past overrun</t>
        </is>
      </c>
      <c r="E4" s="14" t="inlineStr">
        <is>
          <t>Business Analyst</t>
        </is>
      </c>
      <c r="F4" s="14" t="inlineStr">
        <is>
          <t>UI/UX Designer</t>
        </is>
      </c>
      <c r="G4" s="14" t="inlineStr">
        <is>
          <t>Frontend Developer</t>
        </is>
      </c>
      <c r="H4" s="14" t="inlineStr">
        <is>
          <t>Backend Developer</t>
        </is>
      </c>
      <c r="I4" s="14" t="inlineStr">
        <is>
          <t>Mobile Developer</t>
        </is>
      </c>
      <c r="J4" s="14" t="inlineStr">
        <is>
          <t>QA Engineer</t>
        </is>
      </c>
      <c r="K4" s="14" t="inlineStr">
        <is>
          <t>DevOps / Cloud Engineer</t>
        </is>
      </c>
      <c r="L4" s="14" t="inlineStr">
        <is>
          <t>Data / BI Engineer</t>
        </is>
      </c>
      <c r="M4" s="14" t="inlineStr">
        <is>
          <t>AI / ML Engineer</t>
        </is>
      </c>
      <c r="N4" s="14" t="inlineStr">
        <is>
          <t>Total (build)</t>
        </is>
      </c>
    </row>
    <row r="5">
      <c r="A5" s="6" t="inlineStr">
        <is>
          <t>admin_panel</t>
        </is>
      </c>
      <c r="B5" s="6" t="inlineStr">
        <is>
          <t>Admin panel &amp; back office</t>
        </is>
      </c>
      <c r="C5" s="6" t="n">
        <v>8</v>
      </c>
      <c r="D5" s="42" t="n">
        <v>0.175</v>
      </c>
      <c r="E5" s="16" t="n">
        <v>19.6</v>
      </c>
      <c r="F5" s="16" t="n">
        <v>29.9</v>
      </c>
      <c r="G5" s="16" t="n">
        <v>99.09999999999999</v>
      </c>
      <c r="H5" s="16" t="n">
        <v>88.5</v>
      </c>
      <c r="I5" s="16" t="n"/>
      <c r="J5" s="16" t="n">
        <v>48.4</v>
      </c>
      <c r="K5" s="16" t="n"/>
      <c r="L5" s="16" t="n"/>
      <c r="M5" s="16" t="n"/>
      <c r="N5" s="26">
        <f>SUM(E5:M5)</f>
        <v/>
      </c>
    </row>
    <row r="6">
      <c r="A6" s="6" t="inlineStr">
        <is>
          <t>auth</t>
        </is>
      </c>
      <c r="B6" s="6" t="inlineStr">
        <is>
          <t>User accounts, login &amp; roles</t>
        </is>
      </c>
      <c r="C6" s="6" t="n">
        <v>17</v>
      </c>
      <c r="D6" s="42" t="n">
        <v>0.173</v>
      </c>
      <c r="E6" s="16" t="n">
        <v>9.199999999999999</v>
      </c>
      <c r="F6" s="16" t="n">
        <v>14.4</v>
      </c>
      <c r="G6" s="16" t="n">
        <v>48.3</v>
      </c>
      <c r="H6" s="16" t="n">
        <v>65.8</v>
      </c>
      <c r="I6" s="16" t="n"/>
      <c r="J6" s="16" t="n">
        <v>29.1</v>
      </c>
      <c r="K6" s="16" t="n"/>
      <c r="L6" s="16" t="n"/>
      <c r="M6" s="16" t="n"/>
      <c r="N6" s="26">
        <f>SUM(E6:M6)</f>
        <v/>
      </c>
    </row>
    <row r="7">
      <c r="A7" s="6" t="inlineStr">
        <is>
          <t>booking</t>
        </is>
      </c>
      <c r="B7" s="6" t="inlineStr">
        <is>
          <t>Booking &amp; scheduling engine</t>
        </is>
      </c>
      <c r="C7" s="6" t="n">
        <v>5</v>
      </c>
      <c r="D7" s="42" t="n">
        <v>0.224</v>
      </c>
      <c r="E7" s="16" t="n">
        <v>28.6</v>
      </c>
      <c r="F7" s="16" t="n">
        <v>27.7</v>
      </c>
      <c r="G7" s="16" t="n">
        <v>77.40000000000001</v>
      </c>
      <c r="H7" s="16" t="n">
        <v>137.4</v>
      </c>
      <c r="I7" s="16" t="n"/>
      <c r="J7" s="16" t="n">
        <v>69.5</v>
      </c>
      <c r="K7" s="16" t="n"/>
      <c r="L7" s="16" t="n"/>
      <c r="M7" s="16" t="n"/>
      <c r="N7" s="26">
        <f>SUM(E7:M7)</f>
        <v/>
      </c>
    </row>
    <row r="8">
      <c r="A8" s="6" t="inlineStr">
        <is>
          <t>bpm</t>
        </is>
      </c>
      <c r="B8" s="6" t="inlineStr">
        <is>
          <t>Workflow &amp; approval engine (BPM)</t>
        </is>
      </c>
      <c r="C8" s="6" t="n">
        <v>2</v>
      </c>
      <c r="D8" s="42" t="n">
        <v>0.06900000000000001</v>
      </c>
      <c r="E8" s="16" t="n">
        <v>39.4</v>
      </c>
      <c r="F8" s="16" t="n"/>
      <c r="G8" s="16" t="n">
        <v>60.9</v>
      </c>
      <c r="H8" s="16" t="n">
        <v>116.2</v>
      </c>
      <c r="I8" s="16" t="n"/>
      <c r="J8" s="16" t="n">
        <v>41</v>
      </c>
      <c r="K8" s="16" t="n"/>
      <c r="L8" s="16" t="n"/>
      <c r="M8" s="16" t="n"/>
      <c r="N8" s="26">
        <f>SUM(E8:M8)</f>
        <v/>
      </c>
    </row>
    <row r="9">
      <c r="A9" s="6" t="inlineStr">
        <is>
          <t>cloud_infra</t>
        </is>
      </c>
      <c r="B9" s="6" t="inlineStr">
        <is>
          <t>Cloud infrastructure, CI/CD &amp; environments</t>
        </is>
      </c>
      <c r="C9" s="6" t="n">
        <v>7</v>
      </c>
      <c r="D9" s="42" t="n">
        <v>0.203</v>
      </c>
      <c r="E9" s="16" t="n"/>
      <c r="F9" s="16" t="n"/>
      <c r="G9" s="16" t="n"/>
      <c r="H9" s="16" t="n">
        <v>19.8</v>
      </c>
      <c r="I9" s="16" t="n"/>
      <c r="J9" s="16" t="n"/>
      <c r="K9" s="16" t="n">
        <v>100.7</v>
      </c>
      <c r="L9" s="16" t="n"/>
      <c r="M9" s="16" t="n"/>
      <c r="N9" s="26">
        <f>SUM(E9:M9)</f>
        <v/>
      </c>
    </row>
    <row r="10">
      <c r="A10" s="6" t="inlineStr">
        <is>
          <t>cms</t>
        </is>
      </c>
      <c r="B10" s="6" t="inlineStr">
        <is>
          <t>CMS &amp; content management</t>
        </is>
      </c>
      <c r="C10" s="6" t="n">
        <v>5</v>
      </c>
      <c r="D10" s="42" t="n">
        <v>0.153</v>
      </c>
      <c r="E10" s="16" t="n"/>
      <c r="F10" s="16" t="n">
        <v>21.2</v>
      </c>
      <c r="G10" s="16" t="n">
        <v>59.8</v>
      </c>
      <c r="H10" s="16" t="n">
        <v>49.3</v>
      </c>
      <c r="I10" s="16" t="n"/>
      <c r="J10" s="16" t="n">
        <v>25.8</v>
      </c>
      <c r="K10" s="16" t="n"/>
      <c r="L10" s="16" t="n"/>
      <c r="M10" s="16" t="n"/>
      <c r="N10" s="26">
        <f>SUM(E10:M10)</f>
        <v/>
      </c>
    </row>
    <row r="11">
      <c r="A11" s="6" t="inlineStr">
        <is>
          <t>compliance</t>
        </is>
      </c>
      <c r="B11" s="6" t="inlineStr">
        <is>
          <t>Audit logging &amp; compliance controls</t>
        </is>
      </c>
      <c r="C11" s="6" t="n">
        <v>9</v>
      </c>
      <c r="D11" s="42" t="n">
        <v>0.202</v>
      </c>
      <c r="E11" s="16" t="n">
        <v>19.1</v>
      </c>
      <c r="F11" s="16" t="n"/>
      <c r="G11" s="16" t="n"/>
      <c r="H11" s="16" t="n">
        <v>76</v>
      </c>
      <c r="I11" s="16" t="n"/>
      <c r="J11" s="16" t="n">
        <v>29.9</v>
      </c>
      <c r="K11" s="16" t="n">
        <v>30</v>
      </c>
      <c r="L11" s="16" t="n"/>
      <c r="M11" s="16" t="n"/>
      <c r="N11" s="26">
        <f>SUM(E11:M11)</f>
        <v/>
      </c>
    </row>
    <row r="12">
      <c r="A12" s="6" t="inlineStr">
        <is>
          <t>crm</t>
        </is>
      </c>
      <c r="B12" s="6" t="inlineStr">
        <is>
          <t>CRM workflows &amp; customer records</t>
        </is>
      </c>
      <c r="C12" s="6" t="n">
        <v>1</v>
      </c>
      <c r="D12" s="42" t="n">
        <v>0.116</v>
      </c>
      <c r="E12" s="16" t="n">
        <v>40.7</v>
      </c>
      <c r="F12" s="16" t="n"/>
      <c r="G12" s="16" t="n">
        <v>80</v>
      </c>
      <c r="H12" s="16" t="n">
        <v>133.1</v>
      </c>
      <c r="I12" s="16" t="n"/>
      <c r="J12" s="16" t="n">
        <v>39.8</v>
      </c>
      <c r="K12" s="16" t="n"/>
      <c r="L12" s="16" t="n"/>
      <c r="M12" s="16" t="n"/>
      <c r="N12" s="26">
        <f>SUM(E12:M12)</f>
        <v/>
      </c>
    </row>
    <row r="13">
      <c r="A13" s="6" t="inlineStr">
        <is>
          <t>ecommerce</t>
        </is>
      </c>
      <c r="B13" s="6" t="inlineStr">
        <is>
          <t>Product catalog, cart &amp; checkout</t>
        </is>
      </c>
      <c r="C13" s="6" t="n">
        <v>2</v>
      </c>
      <c r="D13" s="42" t="n">
        <v>0.219</v>
      </c>
      <c r="E13" s="16" t="n"/>
      <c r="F13" s="16" t="n">
        <v>34.4</v>
      </c>
      <c r="G13" s="16" t="n">
        <v>105.8</v>
      </c>
      <c r="H13" s="16" t="n">
        <v>122.8</v>
      </c>
      <c r="I13" s="16" t="n"/>
      <c r="J13" s="16" t="n">
        <v>61.4</v>
      </c>
      <c r="K13" s="16" t="n"/>
      <c r="L13" s="16" t="n"/>
      <c r="M13" s="16" t="n"/>
      <c r="N13" s="26">
        <f>SUM(E13:M13)</f>
        <v/>
      </c>
    </row>
    <row r="14">
      <c r="A14" s="6" t="inlineStr">
        <is>
          <t>etl</t>
        </is>
      </c>
      <c r="B14" s="6" t="inlineStr">
        <is>
          <t>Data pipeline / ETL</t>
        </is>
      </c>
      <c r="C14" s="6" t="n">
        <v>7</v>
      </c>
      <c r="D14" s="42" t="n">
        <v>0.142</v>
      </c>
      <c r="E14" s="16" t="n"/>
      <c r="F14" s="16" t="n"/>
      <c r="G14" s="16" t="n"/>
      <c r="H14" s="16" t="n">
        <v>28</v>
      </c>
      <c r="I14" s="16" t="n"/>
      <c r="J14" s="16" t="n">
        <v>26.8</v>
      </c>
      <c r="K14" s="16" t="n">
        <v>17.5</v>
      </c>
      <c r="L14" s="16" t="n">
        <v>133</v>
      </c>
      <c r="M14" s="16" t="n"/>
      <c r="N14" s="26">
        <f>SUM(E14:M14)</f>
        <v/>
      </c>
    </row>
    <row r="15">
      <c r="A15" s="6" t="inlineStr">
        <is>
          <t>geo</t>
        </is>
      </c>
      <c r="B15" s="6" t="inlineStr">
        <is>
          <t>Maps, geolocation &amp; route tracking</t>
        </is>
      </c>
      <c r="C15" s="6" t="n">
        <v>3</v>
      </c>
      <c r="D15" s="42" t="n">
        <v>0.236</v>
      </c>
      <c r="E15" s="16" t="n"/>
      <c r="F15" s="16" t="n"/>
      <c r="G15" s="16" t="n">
        <v>52.3</v>
      </c>
      <c r="H15" s="16" t="n">
        <v>69.7</v>
      </c>
      <c r="I15" s="16" t="n">
        <v>49.2</v>
      </c>
      <c r="J15" s="16" t="n">
        <v>30.7</v>
      </c>
      <c r="K15" s="16" t="n"/>
      <c r="L15" s="16" t="n"/>
      <c r="M15" s="16" t="n"/>
      <c r="N15" s="26">
        <f>SUM(E15:M15)</f>
        <v/>
      </c>
    </row>
    <row r="16">
      <c r="A16" s="6" t="inlineStr">
        <is>
          <t>integration</t>
        </is>
      </c>
      <c r="B16" s="6" t="inlineStr">
        <is>
          <t>Third-party API integration</t>
        </is>
      </c>
      <c r="C16" s="6" t="n">
        <v>10</v>
      </c>
      <c r="D16" s="42" t="n">
        <v>0.238</v>
      </c>
      <c r="E16" s="16" t="n">
        <v>14.4</v>
      </c>
      <c r="F16" s="16" t="n"/>
      <c r="G16" s="16" t="n"/>
      <c r="H16" s="16" t="n">
        <v>89.5</v>
      </c>
      <c r="I16" s="16" t="n"/>
      <c r="J16" s="16" t="n">
        <v>29.4</v>
      </c>
      <c r="K16" s="16" t="n"/>
      <c r="L16" s="16" t="n"/>
      <c r="M16" s="16" t="n"/>
      <c r="N16" s="26">
        <f>SUM(E16:M16)</f>
        <v/>
      </c>
    </row>
    <row r="17">
      <c r="A17" s="6" t="inlineStr">
        <is>
          <t>iot</t>
        </is>
      </c>
      <c r="B17" s="6" t="inlineStr">
        <is>
          <t>IoT device ingestion &amp; telemetry</t>
        </is>
      </c>
      <c r="C17" s="6" t="n">
        <v>3</v>
      </c>
      <c r="D17" s="42" t="n">
        <v>0.188</v>
      </c>
      <c r="E17" s="16" t="n"/>
      <c r="F17" s="16" t="n"/>
      <c r="G17" s="16" t="n"/>
      <c r="H17" s="16" t="n">
        <v>120.5</v>
      </c>
      <c r="I17" s="16" t="n"/>
      <c r="J17" s="16" t="n">
        <v>41.5</v>
      </c>
      <c r="K17" s="16" t="n">
        <v>55.2</v>
      </c>
      <c r="L17" s="16" t="n">
        <v>50.1</v>
      </c>
      <c r="M17" s="16" t="n"/>
      <c r="N17" s="26">
        <f>SUM(E17:M17)</f>
        <v/>
      </c>
    </row>
    <row r="18">
      <c r="A18" s="6" t="inlineStr">
        <is>
          <t>llm_assistant</t>
        </is>
      </c>
      <c r="B18" s="6" t="inlineStr">
        <is>
          <t>LLM assistant / RAG chatbot</t>
        </is>
      </c>
      <c r="C18" s="6" t="n">
        <v>3</v>
      </c>
      <c r="D18" s="42" t="n">
        <v>0.305</v>
      </c>
      <c r="E18" s="16" t="n"/>
      <c r="F18" s="16" t="n"/>
      <c r="G18" s="16" t="n">
        <v>43.4</v>
      </c>
      <c r="H18" s="16" t="n">
        <v>62.5</v>
      </c>
      <c r="I18" s="16" t="n"/>
      <c r="J18" s="16" t="n">
        <v>51.6</v>
      </c>
      <c r="K18" s="16" t="n"/>
      <c r="L18" s="16" t="n"/>
      <c r="M18" s="16" t="n">
        <v>165.2</v>
      </c>
      <c r="N18" s="26">
        <f>SUM(E18:M18)</f>
        <v/>
      </c>
    </row>
    <row r="19">
      <c r="A19" s="6" t="inlineStr">
        <is>
          <t>migration</t>
        </is>
      </c>
      <c r="B19" s="6" t="inlineStr">
        <is>
          <t>Legacy data migration</t>
        </is>
      </c>
      <c r="C19" s="6" t="n">
        <v>2</v>
      </c>
      <c r="D19" s="42" t="n">
        <v>0.225</v>
      </c>
      <c r="E19" s="16" t="n">
        <v>20</v>
      </c>
      <c r="F19" s="16" t="n"/>
      <c r="G19" s="16" t="n"/>
      <c r="H19" s="16" t="n">
        <v>48.2</v>
      </c>
      <c r="I19" s="16" t="n"/>
      <c r="J19" s="16" t="n">
        <v>37.8</v>
      </c>
      <c r="K19" s="16" t="n"/>
      <c r="L19" s="16" t="n">
        <v>80.2</v>
      </c>
      <c r="M19" s="16" t="n"/>
      <c r="N19" s="26">
        <f>SUM(E19:M19)</f>
        <v/>
      </c>
    </row>
    <row r="20">
      <c r="A20" s="6" t="inlineStr">
        <is>
          <t>ml_model</t>
        </is>
      </c>
      <c r="B20" s="6" t="inlineStr">
        <is>
          <t>Predictive ML model</t>
        </is>
      </c>
      <c r="C20" s="6" t="n">
        <v>1</v>
      </c>
      <c r="D20" s="42" t="n">
        <v>0.32</v>
      </c>
      <c r="E20" s="16" t="n"/>
      <c r="F20" s="16" t="n"/>
      <c r="G20" s="16" t="n"/>
      <c r="H20" s="16" t="n"/>
      <c r="I20" s="16" t="n"/>
      <c r="J20" s="16" t="n">
        <v>38.8</v>
      </c>
      <c r="K20" s="16" t="n"/>
      <c r="L20" s="16" t="n">
        <v>83.5</v>
      </c>
      <c r="M20" s="16" t="n">
        <v>236.6</v>
      </c>
      <c r="N20" s="26">
        <f>SUM(E20:M20)</f>
        <v/>
      </c>
    </row>
    <row r="21">
      <c r="A21" s="6" t="inlineStr">
        <is>
          <t>mobile_app</t>
        </is>
      </c>
      <c r="B21" s="6" t="inlineStr">
        <is>
          <t>Mobile app (iOS + Android, cross-platform)</t>
        </is>
      </c>
      <c r="C21" s="6" t="n">
        <v>7</v>
      </c>
      <c r="D21" s="42" t="n">
        <v>0.168</v>
      </c>
      <c r="E21" s="16" t="n"/>
      <c r="F21" s="16" t="n">
        <v>71.5</v>
      </c>
      <c r="G21" s="16" t="n"/>
      <c r="H21" s="16" t="n">
        <v>46.6</v>
      </c>
      <c r="I21" s="16" t="n">
        <v>353.2</v>
      </c>
      <c r="J21" s="16" t="n">
        <v>134.8</v>
      </c>
      <c r="K21" s="16" t="n"/>
      <c r="L21" s="16" t="n"/>
      <c r="M21" s="16" t="n"/>
      <c r="N21" s="26">
        <f>SUM(E21:M21)</f>
        <v/>
      </c>
    </row>
    <row r="22">
      <c r="A22" s="6" t="inlineStr">
        <is>
          <t>notifications</t>
        </is>
      </c>
      <c r="B22" s="6" t="inlineStr">
        <is>
          <t>Notifications (email, SMS, push)</t>
        </is>
      </c>
      <c r="C22" s="6" t="n">
        <v>6</v>
      </c>
      <c r="D22" s="42" t="n">
        <v>0.19</v>
      </c>
      <c r="E22" s="16" t="n"/>
      <c r="F22" s="16" t="n"/>
      <c r="G22" s="16" t="n"/>
      <c r="H22" s="16" t="n">
        <v>45.5</v>
      </c>
      <c r="I22" s="16" t="n">
        <v>18.4</v>
      </c>
      <c r="J22" s="16" t="n">
        <v>18.6</v>
      </c>
      <c r="K22" s="16" t="n"/>
      <c r="L22" s="16" t="n"/>
      <c r="M22" s="16" t="n"/>
      <c r="N22" s="26">
        <f>SUM(E22:M22)</f>
        <v/>
      </c>
    </row>
    <row r="23">
      <c r="A23" s="6" t="inlineStr">
        <is>
          <t>patient_records</t>
        </is>
      </c>
      <c r="B23" s="6" t="inlineStr">
        <is>
          <t>Patient records &amp; care plans</t>
        </is>
      </c>
      <c r="C23" s="6" t="n">
        <v>1</v>
      </c>
      <c r="D23" s="42" t="n">
        <v>0.197</v>
      </c>
      <c r="E23" s="16" t="n">
        <v>43.9</v>
      </c>
      <c r="F23" s="16" t="n"/>
      <c r="G23" s="16" t="n">
        <v>98.7</v>
      </c>
      <c r="H23" s="16" t="n">
        <v>157.7</v>
      </c>
      <c r="I23" s="16" t="n"/>
      <c r="J23" s="16" t="n">
        <v>77.2</v>
      </c>
      <c r="K23" s="16" t="n"/>
      <c r="L23" s="16" t="n"/>
      <c r="M23" s="16" t="n"/>
      <c r="N23" s="26">
        <f>SUM(E23:M23)</f>
        <v/>
      </c>
    </row>
    <row r="24">
      <c r="A24" s="6" t="inlineStr">
        <is>
          <t>payments</t>
        </is>
      </c>
      <c r="B24" s="6" t="inlineStr">
        <is>
          <t>Payments &amp; billing integration</t>
        </is>
      </c>
      <c r="C24" s="6" t="n">
        <v>7</v>
      </c>
      <c r="D24" s="42" t="n">
        <v>0.212</v>
      </c>
      <c r="E24" s="16" t="n">
        <v>17.1</v>
      </c>
      <c r="F24" s="16" t="n"/>
      <c r="G24" s="16" t="n">
        <v>37.2</v>
      </c>
      <c r="H24" s="16" t="n">
        <v>111</v>
      </c>
      <c r="I24" s="16" t="n"/>
      <c r="J24" s="16" t="n">
        <v>55.3</v>
      </c>
      <c r="K24" s="16" t="n"/>
      <c r="L24" s="16" t="n"/>
      <c r="M24" s="16" t="n"/>
      <c r="N24" s="26">
        <f>SUM(E24:M24)</f>
        <v/>
      </c>
    </row>
    <row r="25">
      <c r="A25" s="6" t="inlineStr">
        <is>
          <t>realtime</t>
        </is>
      </c>
      <c r="B25" s="6" t="inlineStr">
        <is>
          <t>Real-time sync &amp; live updates</t>
        </is>
      </c>
      <c r="C25" s="6" t="n">
        <v>4</v>
      </c>
      <c r="D25" s="42" t="n">
        <v>0.099</v>
      </c>
      <c r="E25" s="16" t="n"/>
      <c r="F25" s="16" t="n"/>
      <c r="G25" s="16" t="n">
        <v>44.3</v>
      </c>
      <c r="H25" s="16" t="n">
        <v>89.40000000000001</v>
      </c>
      <c r="I25" s="16" t="n"/>
      <c r="J25" s="16" t="n">
        <v>33.8</v>
      </c>
      <c r="K25" s="16" t="n">
        <v>18</v>
      </c>
      <c r="L25" s="16" t="n"/>
      <c r="M25" s="16" t="n"/>
      <c r="N25" s="26">
        <f>SUM(E25:M25)</f>
        <v/>
      </c>
    </row>
    <row r="26">
      <c r="A26" s="6" t="inlineStr">
        <is>
          <t>reporting</t>
        </is>
      </c>
      <c r="B26" s="6" t="inlineStr">
        <is>
          <t>Reporting &amp; analytics dashboard</t>
        </is>
      </c>
      <c r="C26" s="6" t="n">
        <v>11</v>
      </c>
      <c r="D26" s="42" t="n">
        <v>0.141</v>
      </c>
      <c r="E26" s="16" t="n"/>
      <c r="F26" s="16" t="n">
        <v>19</v>
      </c>
      <c r="G26" s="16" t="n">
        <v>60.7</v>
      </c>
      <c r="H26" s="16" t="n">
        <v>45.1</v>
      </c>
      <c r="I26" s="16" t="n"/>
      <c r="J26" s="16" t="n">
        <v>27.9</v>
      </c>
      <c r="K26" s="16" t="n"/>
      <c r="L26" s="16" t="n">
        <v>46.6</v>
      </c>
      <c r="M26" s="16" t="n"/>
      <c r="N26" s="26">
        <f>SUM(E26:M26)</f>
        <v/>
      </c>
    </row>
    <row r="27">
      <c r="A27" s="6" t="inlineStr">
        <is>
          <t>search</t>
        </is>
      </c>
      <c r="B27" s="6" t="inlineStr">
        <is>
          <t>Search, filters &amp; listings</t>
        </is>
      </c>
      <c r="C27" s="6" t="n">
        <v>6</v>
      </c>
      <c r="D27" s="42" t="n">
        <v>0.188</v>
      </c>
      <c r="E27" s="16" t="n"/>
      <c r="F27" s="16" t="n"/>
      <c r="G27" s="16" t="n">
        <v>47.2</v>
      </c>
      <c r="H27" s="16" t="n">
        <v>59.9</v>
      </c>
      <c r="I27" s="16" t="n"/>
      <c r="J27" s="16" t="n">
        <v>21</v>
      </c>
      <c r="K27" s="16" t="n"/>
      <c r="L27" s="16" t="n"/>
      <c r="M27" s="16" t="n"/>
      <c r="N27" s="26">
        <f>SUM(E27:M27)</f>
        <v/>
      </c>
    </row>
    <row r="28">
      <c r="A28" s="6" t="inlineStr">
        <is>
          <t>tracking</t>
        </is>
      </c>
      <c r="B28" s="6" t="inlineStr">
        <is>
          <t>Event tracking &amp; pixel analytics</t>
        </is>
      </c>
      <c r="C28" s="6" t="n">
        <v>2</v>
      </c>
      <c r="D28" s="42" t="n">
        <v>0.109</v>
      </c>
      <c r="E28" s="16" t="n"/>
      <c r="F28" s="16" t="n"/>
      <c r="G28" s="16" t="n"/>
      <c r="H28" s="16" t="n">
        <v>82</v>
      </c>
      <c r="I28" s="16" t="n"/>
      <c r="J28" s="16" t="n">
        <v>24.3</v>
      </c>
      <c r="K28" s="16" t="n">
        <v>34</v>
      </c>
      <c r="L28" s="16" t="n">
        <v>80</v>
      </c>
      <c r="M28" s="16" t="n"/>
      <c r="N28" s="26">
        <f>SUM(E28:M28)</f>
        <v/>
      </c>
    </row>
    <row r="29">
      <c r="A29" s="6" t="inlineStr">
        <is>
          <t>web_portal</t>
        </is>
      </c>
      <c r="B29" s="6" t="inlineStr">
        <is>
          <t>Customer-facing web portal (UI build)</t>
        </is>
      </c>
      <c r="C29" s="6" t="n">
        <v>10</v>
      </c>
      <c r="D29" s="42" t="n">
        <v>0.142</v>
      </c>
      <c r="E29" s="16" t="n">
        <v>19.9</v>
      </c>
      <c r="F29" s="16" t="n">
        <v>68.90000000000001</v>
      </c>
      <c r="G29" s="16" t="n">
        <v>191.3</v>
      </c>
      <c r="H29" s="16" t="n"/>
      <c r="I29" s="16" t="n"/>
      <c r="J29" s="16" t="n">
        <v>49.5</v>
      </c>
      <c r="K29" s="16" t="n"/>
      <c r="L29" s="16" t="n"/>
      <c r="M29" s="16" t="n"/>
      <c r="N29" s="26">
        <f>SUM(E29:M29)</f>
        <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Q34"/>
  <sheetViews>
    <sheetView showGridLines="0" workbookViewId="0">
      <pane xSplit="2" ySplit="3" topLeftCell="C4" activePane="bottomRight" state="frozen"/>
      <selection pane="topRight"/>
      <selection pane="bottomLeft"/>
      <selection pane="bottomRight" activeCell="A1" sqref="A1"/>
    </sheetView>
  </sheetViews>
  <sheetFormatPr baseColWidth="8" defaultRowHeight="15"/>
  <cols>
    <col width="8" customWidth="1" min="1" max="1"/>
    <col width="30" customWidth="1" min="2" max="2"/>
    <col width="22" customWidth="1" min="3" max="3"/>
    <col width="7" customWidth="1" min="4" max="4"/>
    <col width="12" customWidth="1" min="5" max="5"/>
    <col width="30" customWidth="1" min="6" max="6"/>
    <col width="9" customWidth="1" min="7" max="7"/>
    <col width="7" customWidth="1" min="8" max="8"/>
    <col width="10" customWidth="1" min="9" max="9"/>
    <col width="10" customWidth="1" min="10" max="10"/>
    <col width="10" customWidth="1" min="11" max="11"/>
    <col width="9" customWidth="1" min="12" max="12"/>
    <col width="11" customWidth="1" min="13" max="13"/>
    <col width="11" customWidth="1" min="14" max="14"/>
    <col width="7" customWidth="1" min="15" max="15"/>
    <col width="44" customWidth="1" min="16" max="16"/>
    <col width="34" customWidth="1" min="17" max="17"/>
  </cols>
  <sheetData>
    <row r="1">
      <c r="A1" s="22" t="inlineStr">
        <is>
          <t>Past projects: estimated vs actual hours (demo)</t>
        </is>
      </c>
    </row>
    <row r="3">
      <c r="A3" s="14" t="inlineStr">
        <is>
          <t>ID</t>
        </is>
      </c>
      <c r="B3" s="14" t="inlineStr">
        <is>
          <t>Project</t>
        </is>
      </c>
      <c r="C3" s="14" t="inlineStr">
        <is>
          <t>Client</t>
        </is>
      </c>
      <c r="D3" s="14" t="inlineStr">
        <is>
          <t>Country</t>
        </is>
      </c>
      <c r="E3" s="14" t="inlineStr">
        <is>
          <t>Type</t>
        </is>
      </c>
      <c r="F3" s="14" t="inlineStr">
        <is>
          <t>Stack</t>
        </is>
      </c>
      <c r="G3" s="14" t="inlineStr">
        <is>
          <t>Contract</t>
        </is>
      </c>
      <c r="H3" s="14" t="inlineStr">
        <is>
          <t>Cur.</t>
        </is>
      </c>
      <c r="I3" s="14" t="inlineStr">
        <is>
          <t>Price</t>
        </is>
      </c>
      <c r="J3" s="14" t="inlineStr">
        <is>
          <t>Est. hours</t>
        </is>
      </c>
      <c r="K3" s="14" t="inlineStr">
        <is>
          <t>Actual hours</t>
        </is>
      </c>
      <c r="L3" s="14" t="inlineStr">
        <is>
          <t>Overrun</t>
        </is>
      </c>
      <c r="M3" s="14" t="inlineStr">
        <is>
          <t>Start</t>
        </is>
      </c>
      <c r="N3" s="14" t="inlineStr">
        <is>
          <t>Actual end</t>
        </is>
      </c>
      <c r="O3" s="14" t="inlineStr">
        <is>
          <t>Team</t>
        </is>
      </c>
      <c r="P3" s="14" t="inlineStr">
        <is>
          <t>Modules</t>
        </is>
      </c>
      <c r="Q3" s="14" t="inlineStr">
        <is>
          <t>Notes</t>
        </is>
      </c>
    </row>
    <row r="4">
      <c r="A4" s="6" t="inlineStr">
        <is>
          <t>P101</t>
        </is>
      </c>
      <c r="B4" s="6" t="inlineStr">
        <is>
          <t>Patient portal v2</t>
        </is>
      </c>
      <c r="C4" s="6" t="inlineStr">
        <is>
          <t>CareBridge Health</t>
        </is>
      </c>
      <c r="D4" s="6" t="inlineStr">
        <is>
          <t>US</t>
        </is>
      </c>
      <c r="E4" s="6" t="inlineStr">
        <is>
          <t>web</t>
        </is>
      </c>
      <c r="F4" s="6" t="inlineStr">
        <is>
          <t>.NET Core, React, SQL Server, Azure</t>
        </is>
      </c>
      <c r="G4" s="6" t="inlineStr">
        <is>
          <t>fixed</t>
        </is>
      </c>
      <c r="H4" s="6" t="inlineStr">
        <is>
          <t>USD</t>
        </is>
      </c>
      <c r="I4" s="16" t="n">
        <v>64900</v>
      </c>
      <c r="J4" s="16" t="n">
        <v>1972</v>
      </c>
      <c r="K4" s="16" t="n">
        <v>2274</v>
      </c>
      <c r="L4" s="42">
        <f>IF(J4&gt;0,K4/J4-1,0)</f>
        <v/>
      </c>
      <c r="M4" s="6" t="inlineStr">
        <is>
          <t>2023-02-06</t>
        </is>
      </c>
      <c r="N4" s="6" t="inlineStr">
        <is>
          <t>2023-10-02</t>
        </is>
      </c>
      <c r="O4" s="6" t="n">
        <v>3</v>
      </c>
      <c r="P4" s="6" t="inlineStr">
        <is>
          <t>auth, patient_records, booking, notifications, compliance, web_portal, cloud_infra</t>
        </is>
      </c>
      <c r="Q4" s="6" t="inlineStr">
        <is>
          <t>Delivered on time</t>
        </is>
      </c>
    </row>
    <row r="5">
      <c r="A5" s="6" t="inlineStr">
        <is>
          <t>P102</t>
        </is>
      </c>
      <c r="B5" s="6" t="inlineStr">
        <is>
          <t>Telehealth mobile app</t>
        </is>
      </c>
      <c r="C5" s="6" t="inlineStr">
        <is>
          <t>CareBridge Health</t>
        </is>
      </c>
      <c r="D5" s="6" t="inlineStr">
        <is>
          <t>US</t>
        </is>
      </c>
      <c r="E5" s="6" t="inlineStr">
        <is>
          <t>mobile</t>
        </is>
      </c>
      <c r="F5" s="6" t="inlineStr">
        <is>
          <t>React Native, Node.js, Twilio, AWS</t>
        </is>
      </c>
      <c r="G5" s="6" t="inlineStr">
        <is>
          <t>tm</t>
        </is>
      </c>
      <c r="H5" s="6" t="inlineStr">
        <is>
          <t>USD</t>
        </is>
      </c>
      <c r="I5" s="16" t="n">
        <v>52100</v>
      </c>
      <c r="J5" s="16" t="n">
        <v>1778</v>
      </c>
      <c r="K5" s="16" t="n">
        <v>2092</v>
      </c>
      <c r="L5" s="42">
        <f>IF(J5&gt;0,K5/J5-1,0)</f>
        <v/>
      </c>
      <c r="M5" s="6" t="inlineStr">
        <is>
          <t>2024-04-01</t>
        </is>
      </c>
      <c r="N5" s="6" t="inlineStr">
        <is>
          <t>2024-11-04</t>
        </is>
      </c>
      <c r="O5" s="6" t="n">
        <v>3</v>
      </c>
      <c r="P5" s="6" t="inlineStr">
        <is>
          <t>mobile_app, auth, booking, notifications, integration, compliance</t>
        </is>
      </c>
      <c r="Q5" s="6" t="inlineStr">
        <is>
          <t>App-store review added 2 weeks</t>
        </is>
      </c>
    </row>
    <row r="6">
      <c r="A6" s="6" t="inlineStr">
        <is>
          <t>P103</t>
        </is>
      </c>
      <c r="B6" s="6" t="inlineStr">
        <is>
          <t>Care-plan analytics dashboard</t>
        </is>
      </c>
      <c r="C6" s="6" t="inlineStr">
        <is>
          <t>MediLink Partners</t>
        </is>
      </c>
      <c r="D6" s="6" t="inlineStr">
        <is>
          <t>US</t>
        </is>
      </c>
      <c r="E6" s="6" t="inlineStr">
        <is>
          <t>bi</t>
        </is>
      </c>
      <c r="F6" s="6" t="inlineStr">
        <is>
          <t>Power BI, Azure SQL, Python</t>
        </is>
      </c>
      <c r="G6" s="6" t="inlineStr">
        <is>
          <t>fixed</t>
        </is>
      </c>
      <c r="H6" s="6" t="inlineStr">
        <is>
          <t>USD</t>
        </is>
      </c>
      <c r="I6" s="16" t="n">
        <v>27500</v>
      </c>
      <c r="J6" s="16" t="n">
        <v>773</v>
      </c>
      <c r="K6" s="16" t="n">
        <v>819</v>
      </c>
      <c r="L6" s="42">
        <f>IF(J6&gt;0,K6/J6-1,0)</f>
        <v/>
      </c>
      <c r="M6" s="6" t="inlineStr">
        <is>
          <t>2022-09-05</t>
        </is>
      </c>
      <c r="N6" s="6" t="inlineStr">
        <is>
          <t>2022-12-26</t>
        </is>
      </c>
      <c r="O6" s="6" t="n">
        <v>3</v>
      </c>
      <c r="P6" s="6" t="inlineStr">
        <is>
          <t>etl, reporting, auth, compliance</t>
        </is>
      </c>
      <c r="Q6" s="6" t="inlineStr">
        <is>
          <t>Delivered on time</t>
        </is>
      </c>
    </row>
    <row r="7">
      <c r="A7" s="6" t="inlineStr">
        <is>
          <t>P104</t>
        </is>
      </c>
      <c r="B7" s="6" t="inlineStr">
        <is>
          <t>Provider scheduling system</t>
        </is>
      </c>
      <c r="C7" s="6" t="inlineStr">
        <is>
          <t>MediLink Partners</t>
        </is>
      </c>
      <c r="D7" s="6" t="inlineStr">
        <is>
          <t>US</t>
        </is>
      </c>
      <c r="E7" s="6" t="inlineStr">
        <is>
          <t>web</t>
        </is>
      </c>
      <c r="F7" s="6" t="inlineStr">
        <is>
          <t>.NET Core, Angular, SQL Server</t>
        </is>
      </c>
      <c r="G7" s="6" t="inlineStr">
        <is>
          <t>fixed</t>
        </is>
      </c>
      <c r="H7" s="6" t="inlineStr">
        <is>
          <t>USD</t>
        </is>
      </c>
      <c r="I7" s="16" t="n">
        <v>39800</v>
      </c>
      <c r="J7" s="16" t="n">
        <v>1119</v>
      </c>
      <c r="K7" s="16" t="n">
        <v>1312</v>
      </c>
      <c r="L7" s="42">
        <f>IF(J7&gt;0,K7/J7-1,0)</f>
        <v/>
      </c>
      <c r="M7" s="6" t="inlineStr">
        <is>
          <t>2024-08-12</t>
        </is>
      </c>
      <c r="N7" s="6" t="inlineStr">
        <is>
          <t>2025-01-27</t>
        </is>
      </c>
      <c r="O7" s="6" t="n">
        <v>3</v>
      </c>
      <c r="P7" s="6" t="inlineStr">
        <is>
          <t>booking, auth, admin_panel, notifications, integration</t>
        </is>
      </c>
      <c r="Q7" s="6" t="inlineStr">
        <is>
          <t>UAT sign-off slow on client side</t>
        </is>
      </c>
    </row>
    <row r="8">
      <c r="A8" s="6" t="inlineStr">
        <is>
          <t>P105</t>
        </is>
      </c>
      <c r="B8" s="6" t="inlineStr">
        <is>
          <t>Wallets on the Fly</t>
        </is>
      </c>
      <c r="C8" s="6" t="inlineStr">
        <is>
          <t>PayNest</t>
        </is>
      </c>
      <c r="D8" s="6" t="inlineStr">
        <is>
          <t>UK</t>
        </is>
      </c>
      <c r="E8" s="6" t="inlineStr">
        <is>
          <t>mobile</t>
        </is>
      </c>
      <c r="F8" s="6" t="inlineStr">
        <is>
          <t>Flutter, Node.js, PostgreSQL, AWS</t>
        </is>
      </c>
      <c r="G8" s="6" t="inlineStr">
        <is>
          <t>tm</t>
        </is>
      </c>
      <c r="H8" s="6" t="inlineStr">
        <is>
          <t>GBP</t>
        </is>
      </c>
      <c r="I8" s="16" t="n">
        <v>49300</v>
      </c>
      <c r="J8" s="16" t="n">
        <v>2055</v>
      </c>
      <c r="K8" s="16" t="n">
        <v>2475</v>
      </c>
      <c r="L8" s="42">
        <f>IF(J8&gt;0,K8/J8-1,0)</f>
        <v/>
      </c>
      <c r="M8" s="6" t="inlineStr">
        <is>
          <t>2021-03-01</t>
        </is>
      </c>
      <c r="N8" s="6" t="inlineStr">
        <is>
          <t>2022-01-10</t>
        </is>
      </c>
      <c r="O8" s="6" t="n">
        <v>3</v>
      </c>
      <c r="P8" s="6" t="inlineStr">
        <is>
          <t>mobile_app, payments, auth, notifications, compliance, admin_panel</t>
        </is>
      </c>
      <c r="Q8" s="6" t="inlineStr">
        <is>
          <t>Device fragmentation drove extra QA</t>
        </is>
      </c>
    </row>
    <row r="9">
      <c r="A9" s="6" t="inlineStr">
        <is>
          <t>P106</t>
        </is>
      </c>
      <c r="B9" s="6" t="inlineStr">
        <is>
          <t>Merchant onboarding portal</t>
        </is>
      </c>
      <c r="C9" s="6" t="inlineStr">
        <is>
          <t>PayNest</t>
        </is>
      </c>
      <c r="D9" s="6" t="inlineStr">
        <is>
          <t>UK</t>
        </is>
      </c>
      <c r="E9" s="6" t="inlineStr">
        <is>
          <t>web</t>
        </is>
      </c>
      <c r="F9" s="6" t="inlineStr">
        <is>
          <t>React, .NET Core, Azure</t>
        </is>
      </c>
      <c r="G9" s="6" t="inlineStr">
        <is>
          <t>fixed</t>
        </is>
      </c>
      <c r="H9" s="6" t="inlineStr">
        <is>
          <t>GBP</t>
        </is>
      </c>
      <c r="I9" s="16" t="n">
        <v>24400</v>
      </c>
      <c r="J9" s="16" t="n">
        <v>950</v>
      </c>
      <c r="K9" s="16" t="n">
        <v>1061</v>
      </c>
      <c r="L9" s="42">
        <f>IF(J9&gt;0,K9/J9-1,0)</f>
        <v/>
      </c>
      <c r="M9" s="6" t="inlineStr">
        <is>
          <t>2023-10-02</t>
        </is>
      </c>
      <c r="N9" s="6" t="inlineStr">
        <is>
          <t>2024-02-12</t>
        </is>
      </c>
      <c r="O9" s="6" t="n">
        <v>3</v>
      </c>
      <c r="P9" s="6" t="inlineStr">
        <is>
          <t>web_portal, bpm, integration, auth</t>
        </is>
      </c>
      <c r="Q9" s="6" t="inlineStr">
        <is>
          <t>Scope creep in admin features</t>
        </is>
      </c>
    </row>
    <row r="10">
      <c r="A10" s="6" t="inlineStr">
        <is>
          <t>P107</t>
        </is>
      </c>
      <c r="B10" s="6" t="inlineStr">
        <is>
          <t>Machine monitoring dashboard</t>
        </is>
      </c>
      <c r="C10" s="6" t="inlineStr">
        <is>
          <t>Kraftwerk Maschinenbau GmbH</t>
        </is>
      </c>
      <c r="D10" s="6" t="inlineStr">
        <is>
          <t>DE</t>
        </is>
      </c>
      <c r="E10" s="6" t="inlineStr">
        <is>
          <t>iot</t>
        </is>
      </c>
      <c r="F10" s="6" t="inlineStr">
        <is>
          <t>Node.js, MQTT, InfluxDB, React, Azure</t>
        </is>
      </c>
      <c r="G10" s="6" t="inlineStr">
        <is>
          <t>fixed</t>
        </is>
      </c>
      <c r="H10" s="6" t="inlineStr">
        <is>
          <t>EUR</t>
        </is>
      </c>
      <c r="I10" s="16" t="n">
        <v>33400</v>
      </c>
      <c r="J10" s="16" t="n">
        <v>977</v>
      </c>
      <c r="K10" s="16" t="n">
        <v>1101</v>
      </c>
      <c r="L10" s="42">
        <f>IF(J10&gt;0,K10/J10-1,0)</f>
        <v/>
      </c>
      <c r="M10" s="6" t="inlineStr">
        <is>
          <t>2022-01-10</t>
        </is>
      </c>
      <c r="N10" s="6" t="inlineStr">
        <is>
          <t>2022-07-11</t>
        </is>
      </c>
      <c r="O10" s="6" t="n">
        <v>3</v>
      </c>
      <c r="P10" s="6" t="inlineStr">
        <is>
          <t>iot, reporting, realtime, auth, cloud_infra</t>
        </is>
      </c>
      <c r="Q10" s="6" t="inlineStr">
        <is>
          <t>Device firmware changes from client side</t>
        </is>
      </c>
    </row>
    <row r="11">
      <c r="A11" s="6" t="inlineStr">
        <is>
          <t>P108</t>
        </is>
      </c>
      <c r="B11" s="6" t="inlineStr">
        <is>
          <t>Spare-parts B2B ordering portal</t>
        </is>
      </c>
      <c r="C11" s="6" t="inlineStr">
        <is>
          <t>Kraftwerk Maschinenbau GmbH</t>
        </is>
      </c>
      <c r="D11" s="6" t="inlineStr">
        <is>
          <t>DE</t>
        </is>
      </c>
      <c r="E11" s="6" t="inlineStr">
        <is>
          <t>ecommerce</t>
        </is>
      </c>
      <c r="F11" s="6" t="inlineStr">
        <is>
          <t>.NET Core, Angular, SQL Server</t>
        </is>
      </c>
      <c r="G11" s="6" t="inlineStr">
        <is>
          <t>fixed</t>
        </is>
      </c>
      <c r="H11" s="6" t="inlineStr">
        <is>
          <t>EUR</t>
        </is>
      </c>
      <c r="I11" s="16" t="n">
        <v>31000</v>
      </c>
      <c r="J11" s="16" t="n">
        <v>1000</v>
      </c>
      <c r="K11" s="16" t="n">
        <v>1181</v>
      </c>
      <c r="L11" s="42">
        <f>IF(J11&gt;0,K11/J11-1,0)</f>
        <v/>
      </c>
      <c r="M11" s="6" t="inlineStr">
        <is>
          <t>2024-11-04</t>
        </is>
      </c>
      <c r="N11" s="6" t="inlineStr">
        <is>
          <t>2025-04-07</t>
        </is>
      </c>
      <c r="O11" s="6" t="n">
        <v>3</v>
      </c>
      <c r="P11" s="6" t="inlineStr">
        <is>
          <t>ecommerce, search, integration, auth, admin_panel</t>
        </is>
      </c>
      <c r="Q11" s="6" t="inlineStr">
        <is>
          <t>Catalog import edge cases</t>
        </is>
      </c>
    </row>
    <row r="12">
      <c r="A12" s="6" t="inlineStr">
        <is>
          <t>P109</t>
        </is>
      </c>
      <c r="B12" s="6" t="inlineStr">
        <is>
          <t>Coach booking platform</t>
        </is>
      </c>
      <c r="C12" s="6" t="inlineStr">
        <is>
          <t>Coachline Travel</t>
        </is>
      </c>
      <c r="D12" s="6" t="inlineStr">
        <is>
          <t>UK</t>
        </is>
      </c>
      <c r="E12" s="6" t="inlineStr">
        <is>
          <t>web</t>
        </is>
      </c>
      <c r="F12" s="6" t="inlineStr">
        <is>
          <t>PHP Laravel, Vue, MySQL, AWS</t>
        </is>
      </c>
      <c r="G12" s="6" t="inlineStr">
        <is>
          <t>fixed</t>
        </is>
      </c>
      <c r="H12" s="6" t="inlineStr">
        <is>
          <t>GBP</t>
        </is>
      </c>
      <c r="I12" s="16" t="n">
        <v>39200</v>
      </c>
      <c r="J12" s="16" t="n">
        <v>1508</v>
      </c>
      <c r="K12" s="16" t="n">
        <v>1716</v>
      </c>
      <c r="L12" s="42">
        <f>IF(J12&gt;0,K12/J12-1,0)</f>
        <v/>
      </c>
      <c r="M12" s="6" t="inlineStr">
        <is>
          <t>2019-06-03</t>
        </is>
      </c>
      <c r="N12" s="6" t="inlineStr">
        <is>
          <t>2019-12-23</t>
        </is>
      </c>
      <c r="O12" s="6" t="n">
        <v>3</v>
      </c>
      <c r="P12" s="6" t="inlineStr">
        <is>
          <t>booking, payments, search, web_portal, admin_panel, notifications</t>
        </is>
      </c>
      <c r="Q12" s="6" t="inlineStr">
        <is>
          <t>Delivered on time</t>
        </is>
      </c>
    </row>
    <row r="13">
      <c r="A13" s="6" t="inlineStr">
        <is>
          <t>P110</t>
        </is>
      </c>
      <c r="B13" s="6" t="inlineStr">
        <is>
          <t>Sightseeing tours mobile app</t>
        </is>
      </c>
      <c r="C13" s="6" t="inlineStr">
        <is>
          <t>Coachline Travel</t>
        </is>
      </c>
      <c r="D13" s="6" t="inlineStr">
        <is>
          <t>UK</t>
        </is>
      </c>
      <c r="E13" s="6" t="inlineStr">
        <is>
          <t>mobile</t>
        </is>
      </c>
      <c r="F13" s="6" t="inlineStr">
        <is>
          <t>React Native, Node.js, Stripe</t>
        </is>
      </c>
      <c r="G13" s="6" t="inlineStr">
        <is>
          <t>fixed</t>
        </is>
      </c>
      <c r="H13" s="6" t="inlineStr">
        <is>
          <t>GBP</t>
        </is>
      </c>
      <c r="I13" s="16" t="n">
        <v>35700</v>
      </c>
      <c r="J13" s="16" t="n">
        <v>1261</v>
      </c>
      <c r="K13" s="16" t="n">
        <v>1525</v>
      </c>
      <c r="L13" s="42">
        <f>IF(J13&gt;0,K13/J13-1,0)</f>
        <v/>
      </c>
      <c r="M13" s="6" t="inlineStr">
        <is>
          <t>2023-05-08</t>
        </is>
      </c>
      <c r="N13" s="6" t="inlineStr">
        <is>
          <t>2023-10-09</t>
        </is>
      </c>
      <c r="O13" s="6" t="n">
        <v>3</v>
      </c>
      <c r="P13" s="6" t="inlineStr">
        <is>
          <t>mobile_app, booking, payments, geo</t>
        </is>
      </c>
      <c r="Q13" s="6" t="inlineStr">
        <is>
          <t>Offline sync was underestimated</t>
        </is>
      </c>
    </row>
    <row r="14">
      <c r="A14" s="6" t="inlineStr">
        <is>
          <t>P111</t>
        </is>
      </c>
      <c r="B14" s="6" t="inlineStr">
        <is>
          <t>Adaptive learning platform (LMS)</t>
        </is>
      </c>
      <c r="C14" s="6" t="inlineStr">
        <is>
          <t>BrightPath Learning</t>
        </is>
      </c>
      <c r="D14" s="6" t="inlineStr">
        <is>
          <t>US</t>
        </is>
      </c>
      <c r="E14" s="6" t="inlineStr">
        <is>
          <t>web</t>
        </is>
      </c>
      <c r="F14" s="6" t="inlineStr">
        <is>
          <t>React, Python FastAPI, PostgreSQL, AWS</t>
        </is>
      </c>
      <c r="G14" s="6" t="inlineStr">
        <is>
          <t>tm</t>
        </is>
      </c>
      <c r="H14" s="6" t="inlineStr">
        <is>
          <t>USD</t>
        </is>
      </c>
      <c r="I14" s="16" t="n">
        <v>39600</v>
      </c>
      <c r="J14" s="16" t="n">
        <v>1290</v>
      </c>
      <c r="K14" s="16" t="n">
        <v>1496</v>
      </c>
      <c r="L14" s="42">
        <f>IF(J14&gt;0,K14/J14-1,0)</f>
        <v/>
      </c>
      <c r="M14" s="6" t="inlineStr">
        <is>
          <t>2022-07-11</t>
        </is>
      </c>
      <c r="N14" s="6" t="inlineStr">
        <is>
          <t>2023-03-06</t>
        </is>
      </c>
      <c r="O14" s="6" t="n">
        <v>3</v>
      </c>
      <c r="P14" s="6" t="inlineStr">
        <is>
          <t>web_portal, auth, cms, reporting, admin_panel</t>
        </is>
      </c>
      <c r="Q14" s="6" t="inlineStr">
        <is>
          <t>Scope creep in admin features</t>
        </is>
      </c>
    </row>
    <row r="15">
      <c r="A15" s="6" t="inlineStr">
        <is>
          <t>P112</t>
        </is>
      </c>
      <c r="B15" s="6" t="inlineStr">
        <is>
          <t>AI homework tutor (LLM)</t>
        </is>
      </c>
      <c r="C15" s="6" t="inlineStr">
        <is>
          <t>BrightPath Learning</t>
        </is>
      </c>
      <c r="D15" s="6" t="inlineStr">
        <is>
          <t>US</t>
        </is>
      </c>
      <c r="E15" s="6" t="inlineStr">
        <is>
          <t>ai</t>
        </is>
      </c>
      <c r="F15" s="6" t="inlineStr">
        <is>
          <t>Python, OpenAI API, RAG, React</t>
        </is>
      </c>
      <c r="G15" s="6" t="inlineStr">
        <is>
          <t>tm</t>
        </is>
      </c>
      <c r="H15" s="6" t="inlineStr">
        <is>
          <t>USD</t>
        </is>
      </c>
      <c r="I15" s="16" t="n">
        <v>33200</v>
      </c>
      <c r="J15" s="16" t="n">
        <v>968</v>
      </c>
      <c r="K15" s="16" t="n">
        <v>1284</v>
      </c>
      <c r="L15" s="42">
        <f>IF(J15&gt;0,K15/J15-1,0)</f>
        <v/>
      </c>
      <c r="M15" s="6" t="inlineStr">
        <is>
          <t>2025-01-13</t>
        </is>
      </c>
      <c r="N15" s="6" t="inlineStr">
        <is>
          <t>2025-06-23</t>
        </is>
      </c>
      <c r="O15" s="6" t="n">
        <v>3</v>
      </c>
      <c r="P15" s="6" t="inlineStr">
        <is>
          <t>llm_assistant, web_portal, auth, compliance</t>
        </is>
      </c>
      <c r="Q15" s="6" t="inlineStr">
        <is>
          <t>Hallucination guardrails added late</t>
        </is>
      </c>
    </row>
    <row r="16">
      <c r="A16" s="6" t="inlineStr">
        <is>
          <t>P113</t>
        </is>
      </c>
      <c r="B16" s="6" t="inlineStr">
        <is>
          <t>Live show story-sync app</t>
        </is>
      </c>
      <c r="C16" s="6" t="inlineStr">
        <is>
          <t>StoryLive Media</t>
        </is>
      </c>
      <c r="D16" s="6" t="inlineStr">
        <is>
          <t>US</t>
        </is>
      </c>
      <c r="E16" s="6" t="inlineStr">
        <is>
          <t>mobile</t>
        </is>
      </c>
      <c r="F16" s="6" t="inlineStr">
        <is>
          <t>React Native, Node.js, WebSockets, AWS</t>
        </is>
      </c>
      <c r="G16" s="6" t="inlineStr">
        <is>
          <t>fixed</t>
        </is>
      </c>
      <c r="H16" s="6" t="inlineStr">
        <is>
          <t>USD</t>
        </is>
      </c>
      <c r="I16" s="16" t="n">
        <v>40200</v>
      </c>
      <c r="J16" s="16" t="n">
        <v>1155</v>
      </c>
      <c r="K16" s="16" t="n">
        <v>1397</v>
      </c>
      <c r="L16" s="42">
        <f>IF(J16&gt;0,K16/J16-1,0)</f>
        <v/>
      </c>
      <c r="M16" s="6" t="inlineStr">
        <is>
          <t>2020-08-03</t>
        </is>
      </c>
      <c r="N16" s="6" t="inlineStr">
        <is>
          <t>2020-12-07</t>
        </is>
      </c>
      <c r="O16" s="6" t="n">
        <v>3</v>
      </c>
      <c r="P16" s="6" t="inlineStr">
        <is>
          <t>mobile_app, realtime, cms, cloud_infra</t>
        </is>
      </c>
      <c r="Q16" s="6" t="inlineStr">
        <is>
          <t>Offline sync was underestimated</t>
        </is>
      </c>
    </row>
    <row r="17">
      <c r="A17" s="6" t="inlineStr">
        <is>
          <t>P114</t>
        </is>
      </c>
      <c r="B17" s="6" t="inlineStr">
        <is>
          <t>Multi-time-zone live polling</t>
        </is>
      </c>
      <c r="C17" s="6" t="inlineStr">
        <is>
          <t>StoryLive Media</t>
        </is>
      </c>
      <c r="D17" s="6" t="inlineStr">
        <is>
          <t>US</t>
        </is>
      </c>
      <c r="E17" s="6" t="inlineStr">
        <is>
          <t>web</t>
        </is>
      </c>
      <c r="F17" s="6" t="inlineStr">
        <is>
          <t>React, Node.js, Redis, AWS Lambda</t>
        </is>
      </c>
      <c r="G17" s="6" t="inlineStr">
        <is>
          <t>fixed</t>
        </is>
      </c>
      <c r="H17" s="6" t="inlineStr">
        <is>
          <t>USD</t>
        </is>
      </c>
      <c r="I17" s="16" t="n">
        <v>31700</v>
      </c>
      <c r="J17" s="16" t="n">
        <v>886</v>
      </c>
      <c r="K17" s="16" t="n">
        <v>1005</v>
      </c>
      <c r="L17" s="42">
        <f>IF(J17&gt;0,K17/J17-1,0)</f>
        <v/>
      </c>
      <c r="M17" s="6" t="inlineStr">
        <is>
          <t>2023-01-09</t>
        </is>
      </c>
      <c r="N17" s="6" t="inlineStr">
        <is>
          <t>2023-04-10</t>
        </is>
      </c>
      <c r="O17" s="6" t="n">
        <v>3</v>
      </c>
      <c r="P17" s="6" t="inlineStr">
        <is>
          <t>realtime, web_portal, reporting, cloud_infra</t>
        </is>
      </c>
      <c r="Q17" s="6" t="inlineStr">
        <is>
          <t>UAT sign-off slow on client side</t>
        </is>
      </c>
    </row>
    <row r="18">
      <c r="A18" s="6" t="inlineStr">
        <is>
          <t>P115</t>
        </is>
      </c>
      <c r="B18" s="6" t="inlineStr">
        <is>
          <t>50-state offender search</t>
        </is>
      </c>
      <c r="C18" s="6" t="inlineStr">
        <is>
          <t>SafeWatch Registry</t>
        </is>
      </c>
      <c r="D18" s="6" t="inlineStr">
        <is>
          <t>US</t>
        </is>
      </c>
      <c r="E18" s="6" t="inlineStr">
        <is>
          <t>web</t>
        </is>
      </c>
      <c r="F18" s="6" t="inlineStr">
        <is>
          <t>.NET Core, SQL Server, Elasticsearch, Azure</t>
        </is>
      </c>
      <c r="G18" s="6" t="inlineStr">
        <is>
          <t>tm</t>
        </is>
      </c>
      <c r="H18" s="6" t="inlineStr">
        <is>
          <t>USD</t>
        </is>
      </c>
      <c r="I18" s="16" t="n">
        <v>37200</v>
      </c>
      <c r="J18" s="16" t="n">
        <v>1226</v>
      </c>
      <c r="K18" s="16" t="n">
        <v>1351</v>
      </c>
      <c r="L18" s="42">
        <f>IF(J18&gt;0,K18/J18-1,0)</f>
        <v/>
      </c>
      <c r="M18" s="6" t="inlineStr">
        <is>
          <t>2019-02-04</t>
        </is>
      </c>
      <c r="N18" s="6" t="inlineStr">
        <is>
          <t>2019-11-04</t>
        </is>
      </c>
      <c r="O18" s="6" t="n">
        <v>3</v>
      </c>
      <c r="P18" s="6" t="inlineStr">
        <is>
          <t>search, etl, web_portal, compliance, geo</t>
        </is>
      </c>
      <c r="Q18" s="6" t="inlineStr">
        <is>
          <t>UAT sign-off slow on client side</t>
        </is>
      </c>
    </row>
    <row r="19">
      <c r="A19" s="6" t="inlineStr">
        <is>
          <t>P116</t>
        </is>
      </c>
      <c r="B19" s="6" t="inlineStr">
        <is>
          <t>Registry data-sync modernization</t>
        </is>
      </c>
      <c r="C19" s="6" t="inlineStr">
        <is>
          <t>SafeWatch Registry</t>
        </is>
      </c>
      <c r="D19" s="6" t="inlineStr">
        <is>
          <t>US</t>
        </is>
      </c>
      <c r="E19" s="6" t="inlineStr">
        <is>
          <t>migration</t>
        </is>
      </c>
      <c r="F19" s="6" t="inlineStr">
        <is>
          <t>.NET Core, Azure Functions, SQL Server</t>
        </is>
      </c>
      <c r="G19" s="6" t="inlineStr">
        <is>
          <t>fixed</t>
        </is>
      </c>
      <c r="H19" s="6" t="inlineStr">
        <is>
          <t>USD</t>
        </is>
      </c>
      <c r="I19" s="16" t="n">
        <v>27900</v>
      </c>
      <c r="J19" s="16" t="n">
        <v>730</v>
      </c>
      <c r="K19" s="16" t="n">
        <v>930</v>
      </c>
      <c r="L19" s="42">
        <f>IF(J19&gt;0,K19/J19-1,0)</f>
        <v/>
      </c>
      <c r="M19" s="6" t="inlineStr">
        <is>
          <t>2024-02-05</t>
        </is>
      </c>
      <c r="N19" s="6" t="inlineStr">
        <is>
          <t>2024-07-29</t>
        </is>
      </c>
      <c r="O19" s="6" t="n">
        <v>3</v>
      </c>
      <c r="P19" s="6" t="inlineStr">
        <is>
          <t>migration, etl, integration, cloud_infra</t>
        </is>
      </c>
      <c r="Q19" s="6" t="inlineStr">
        <is>
          <t>Cut-over weekend slipped once</t>
        </is>
      </c>
    </row>
    <row r="20">
      <c r="A20" s="6" t="inlineStr">
        <is>
          <t>P117</t>
        </is>
      </c>
      <c r="B20" s="6" t="inlineStr">
        <is>
          <t>Store performance BI</t>
        </is>
      </c>
      <c r="C20" s="6" t="inlineStr">
        <is>
          <t>Vandenberg Retail NV</t>
        </is>
      </c>
      <c r="D20" s="6" t="inlineStr">
        <is>
          <t>BE</t>
        </is>
      </c>
      <c r="E20" s="6" t="inlineStr">
        <is>
          <t>bi</t>
        </is>
      </c>
      <c r="F20" s="6" t="inlineStr">
        <is>
          <t>Power BI, Snowflake, Airflow</t>
        </is>
      </c>
      <c r="G20" s="6" t="inlineStr">
        <is>
          <t>fixed</t>
        </is>
      </c>
      <c r="H20" s="6" t="inlineStr">
        <is>
          <t>EUR</t>
        </is>
      </c>
      <c r="I20" s="16" t="n">
        <v>22100</v>
      </c>
      <c r="J20" s="16" t="n">
        <v>669</v>
      </c>
      <c r="K20" s="16" t="n">
        <v>702</v>
      </c>
      <c r="L20" s="42">
        <f>IF(J20&gt;0,K20/J20-1,0)</f>
        <v/>
      </c>
      <c r="M20" s="6" t="inlineStr">
        <is>
          <t>2022-03-07</t>
        </is>
      </c>
      <c r="N20" s="6" t="inlineStr">
        <is>
          <t>2022-06-20</t>
        </is>
      </c>
      <c r="O20" s="6" t="n">
        <v>3</v>
      </c>
      <c r="P20" s="6" t="inlineStr">
        <is>
          <t>etl, reporting, integration</t>
        </is>
      </c>
      <c r="Q20" s="6" t="inlineStr">
        <is>
          <t>Source data definitions unclear at start</t>
        </is>
      </c>
    </row>
    <row r="21">
      <c r="A21" s="6" t="inlineStr">
        <is>
          <t>P118</t>
        </is>
      </c>
      <c r="B21" s="6" t="inlineStr">
        <is>
          <t>Headless e-commerce storefront</t>
        </is>
      </c>
      <c r="C21" s="6" t="inlineStr">
        <is>
          <t>Vandenberg Retail NV</t>
        </is>
      </c>
      <c r="D21" s="6" t="inlineStr">
        <is>
          <t>BE</t>
        </is>
      </c>
      <c r="E21" s="6" t="inlineStr">
        <is>
          <t>ecommerce</t>
        </is>
      </c>
      <c r="F21" s="6" t="inlineStr">
        <is>
          <t>Next.js, Node.js, Stripe, AWS</t>
        </is>
      </c>
      <c r="G21" s="6" t="inlineStr">
        <is>
          <t>fixed</t>
        </is>
      </c>
      <c r="H21" s="6" t="inlineStr">
        <is>
          <t>EUR</t>
        </is>
      </c>
      <c r="I21" s="16" t="n">
        <v>35300</v>
      </c>
      <c r="J21" s="16" t="n">
        <v>1100</v>
      </c>
      <c r="K21" s="16" t="n">
        <v>1303</v>
      </c>
      <c r="L21" s="42">
        <f>IF(J21&gt;0,K21/J21-1,0)</f>
        <v/>
      </c>
      <c r="M21" s="6" t="inlineStr">
        <is>
          <t>2024-06-03</t>
        </is>
      </c>
      <c r="N21" s="6" t="inlineStr">
        <is>
          <t>2024-12-09</t>
        </is>
      </c>
      <c r="O21" s="6" t="n">
        <v>3</v>
      </c>
      <c r="P21" s="6" t="inlineStr">
        <is>
          <t>ecommerce, cms, payments, search, integration</t>
        </is>
      </c>
      <c r="Q21" s="6" t="inlineStr">
        <is>
          <t>Payment gateway certification delayed go-live</t>
        </is>
      </c>
    </row>
    <row r="22">
      <c r="A22" s="6" t="inlineStr">
        <is>
          <t>P119</t>
        </is>
      </c>
      <c r="B22" s="6" t="inlineStr">
        <is>
          <t>Fleet tracking app</t>
        </is>
      </c>
      <c r="C22" s="6" t="inlineStr">
        <is>
          <t>Gulf Freight Lines</t>
        </is>
      </c>
      <c r="D22" s="6" t="inlineStr">
        <is>
          <t>AE</t>
        </is>
      </c>
      <c r="E22" s="6" t="inlineStr">
        <is>
          <t>mobile</t>
        </is>
      </c>
      <c r="F22" s="6" t="inlineStr">
        <is>
          <t>Flutter, Node.js, Google Maps, AWS IoT</t>
        </is>
      </c>
      <c r="G22" s="6" t="inlineStr">
        <is>
          <t>fixed</t>
        </is>
      </c>
      <c r="H22" s="6" t="inlineStr">
        <is>
          <t>USD</t>
        </is>
      </c>
      <c r="I22" s="16" t="n">
        <v>55300</v>
      </c>
      <c r="J22" s="16" t="n">
        <v>1650</v>
      </c>
      <c r="K22" s="16" t="n">
        <v>1933</v>
      </c>
      <c r="L22" s="42">
        <f>IF(J22&gt;0,K22/J22-1,0)</f>
        <v/>
      </c>
      <c r="M22" s="6" t="inlineStr">
        <is>
          <t>2023-09-04</t>
        </is>
      </c>
      <c r="N22" s="6" t="inlineStr">
        <is>
          <t>2024-03-18</t>
        </is>
      </c>
      <c r="O22" s="6" t="n">
        <v>3</v>
      </c>
      <c r="P22" s="6" t="inlineStr">
        <is>
          <t>mobile_app, geo, iot, admin_panel, reporting</t>
        </is>
      </c>
      <c r="Q22" s="6" t="inlineStr">
        <is>
          <t>Offline sync was underestimated</t>
        </is>
      </c>
    </row>
    <row r="23">
      <c r="A23" s="6" t="inlineStr">
        <is>
          <t>P120</t>
        </is>
      </c>
      <c r="B23" s="6" t="inlineStr">
        <is>
          <t>Property listing portal</t>
        </is>
      </c>
      <c r="C23" s="6" t="inlineStr">
        <is>
          <t>Outback Realty Group</t>
        </is>
      </c>
      <c r="D23" s="6" t="inlineStr">
        <is>
          <t>AU</t>
        </is>
      </c>
      <c r="E23" s="6" t="inlineStr">
        <is>
          <t>web</t>
        </is>
      </c>
      <c r="F23" s="6" t="inlineStr">
        <is>
          <t>React, Node.js, PostgreSQL, AWS</t>
        </is>
      </c>
      <c r="G23" s="6" t="inlineStr">
        <is>
          <t>fixed</t>
        </is>
      </c>
      <c r="H23" s="6" t="inlineStr">
        <is>
          <t>AUD</t>
        </is>
      </c>
      <c r="I23" s="16" t="n">
        <v>46000</v>
      </c>
      <c r="J23" s="16" t="n">
        <v>928</v>
      </c>
      <c r="K23" s="16" t="n">
        <v>1060</v>
      </c>
      <c r="L23" s="42">
        <f>IF(J23&gt;0,K23/J23-1,0)</f>
        <v/>
      </c>
      <c r="M23" s="6" t="inlineStr">
        <is>
          <t>2022-10-03</t>
        </is>
      </c>
      <c r="N23" s="6" t="inlineStr">
        <is>
          <t>2023-02-13</t>
        </is>
      </c>
      <c r="O23" s="6" t="n">
        <v>3</v>
      </c>
      <c r="P23" s="6" t="inlineStr">
        <is>
          <t>search, web_portal, cms, auth, integration</t>
        </is>
      </c>
      <c r="Q23" s="6" t="inlineStr">
        <is>
          <t>Delivered on time</t>
        </is>
      </c>
    </row>
    <row r="24">
      <c r="A24" s="6" t="inlineStr">
        <is>
          <t>P121</t>
        </is>
      </c>
      <c r="B24" s="6" t="inlineStr">
        <is>
          <t>Claims processing portal</t>
        </is>
      </c>
      <c r="C24" s="6" t="inlineStr">
        <is>
          <t>Kiwi Insure</t>
        </is>
      </c>
      <c r="D24" s="6" t="inlineStr">
        <is>
          <t>NZ</t>
        </is>
      </c>
      <c r="E24" s="6" t="inlineStr">
        <is>
          <t>web</t>
        </is>
      </c>
      <c r="F24" s="6" t="inlineStr">
        <is>
          <t>.NET Core, Angular, SQL Server, Azure</t>
        </is>
      </c>
      <c r="G24" s="6" t="inlineStr">
        <is>
          <t>fixed</t>
        </is>
      </c>
      <c r="H24" s="6" t="inlineStr">
        <is>
          <t>NZD</t>
        </is>
      </c>
      <c r="I24" s="16" t="n">
        <v>82000</v>
      </c>
      <c r="J24" s="16" t="n">
        <v>1380</v>
      </c>
      <c r="K24" s="16" t="n">
        <v>1560</v>
      </c>
      <c r="L24" s="42">
        <f>IF(J24&gt;0,K24/J24-1,0)</f>
        <v/>
      </c>
      <c r="M24" s="6" t="inlineStr">
        <is>
          <t>2024-09-02</t>
        </is>
      </c>
      <c r="N24" s="6" t="inlineStr">
        <is>
          <t>2025-03-31</t>
        </is>
      </c>
      <c r="O24" s="6" t="n">
        <v>3</v>
      </c>
      <c r="P24" s="6" t="inlineStr">
        <is>
          <t>bpm, web_portal, migration, auth, compliance</t>
        </is>
      </c>
      <c r="Q24" s="6" t="inlineStr">
        <is>
          <t>Delivered on time</t>
        </is>
      </c>
    </row>
    <row r="25">
      <c r="A25" s="6" t="inlineStr">
        <is>
          <t>P122</t>
        </is>
      </c>
      <c r="B25" s="6" t="inlineStr">
        <is>
          <t>Marketplace MVP</t>
        </is>
      </c>
      <c r="C25" s="6" t="inlineStr">
        <is>
          <t>CapeTech Ventures</t>
        </is>
      </c>
      <c r="D25" s="6" t="inlineStr">
        <is>
          <t>ZA</t>
        </is>
      </c>
      <c r="E25" s="6" t="inlineStr">
        <is>
          <t>web</t>
        </is>
      </c>
      <c r="F25" s="6" t="inlineStr">
        <is>
          <t>React, Node.js, PostgreSQL, Stripe</t>
        </is>
      </c>
      <c r="G25" s="6" t="inlineStr">
        <is>
          <t>fixed</t>
        </is>
      </c>
      <c r="H25" s="6" t="inlineStr">
        <is>
          <t>USD</t>
        </is>
      </c>
      <c r="I25" s="16" t="n">
        <v>25100</v>
      </c>
      <c r="J25" s="16" t="n">
        <v>781</v>
      </c>
      <c r="K25" s="16" t="n">
        <v>906</v>
      </c>
      <c r="L25" s="42">
        <f>IF(J25&gt;0,K25/J25-1,0)</f>
        <v/>
      </c>
      <c r="M25" s="6" t="inlineStr">
        <is>
          <t>2025-02-03</t>
        </is>
      </c>
      <c r="N25" s="6" t="inlineStr">
        <is>
          <t>2025-04-21</t>
        </is>
      </c>
      <c r="O25" s="6" t="n">
        <v>3</v>
      </c>
      <c r="P25" s="6" t="inlineStr">
        <is>
          <t>web_portal, auth, payments, search, admin_panel</t>
        </is>
      </c>
      <c r="Q25" s="6" t="inlineStr">
        <is>
          <t>Scope creep in admin features</t>
        </is>
      </c>
    </row>
    <row r="26">
      <c r="A26" s="6" t="inlineStr">
        <is>
          <t>P123</t>
        </is>
      </c>
      <c r="B26" s="6" t="inlineStr">
        <is>
          <t>Fintech savings MVP</t>
        </is>
      </c>
      <c r="C26" s="6" t="inlineStr">
        <is>
          <t>CapeTech Ventures</t>
        </is>
      </c>
      <c r="D26" s="6" t="inlineStr">
        <is>
          <t>ZA</t>
        </is>
      </c>
      <c r="E26" s="6" t="inlineStr">
        <is>
          <t>mobile</t>
        </is>
      </c>
      <c r="F26" s="6" t="inlineStr">
        <is>
          <t>Flutter, Firebase, Stripe</t>
        </is>
      </c>
      <c r="G26" s="6" t="inlineStr">
        <is>
          <t>fixed</t>
        </is>
      </c>
      <c r="H26" s="6" t="inlineStr">
        <is>
          <t>USD</t>
        </is>
      </c>
      <c r="I26" s="16" t="n">
        <v>24700</v>
      </c>
      <c r="J26" s="16" t="n">
        <v>727</v>
      </c>
      <c r="K26" s="16" t="n">
        <v>903</v>
      </c>
      <c r="L26" s="42">
        <f>IF(J26&gt;0,K26/J26-1,0)</f>
        <v/>
      </c>
      <c r="M26" s="6" t="inlineStr">
        <is>
          <t>2025-06-02</t>
        </is>
      </c>
      <c r="N26" s="6" t="inlineStr">
        <is>
          <t>2025-09-01</t>
        </is>
      </c>
      <c r="O26" s="6" t="n">
        <v>3</v>
      </c>
      <c r="P26" s="6" t="inlineStr">
        <is>
          <t>mobile_app, auth, payments, notifications</t>
        </is>
      </c>
      <c r="Q26" s="6" t="inlineStr">
        <is>
          <t>App-store review added 2 weeks</t>
        </is>
      </c>
    </row>
    <row r="27">
      <c r="A27" s="6" t="inlineStr">
        <is>
          <t>P124</t>
        </is>
      </c>
      <c r="B27" s="6" t="inlineStr">
        <is>
          <t>Pixel tracking at scale</t>
        </is>
      </c>
      <c r="C27" s="6" t="inlineStr">
        <is>
          <t>Pixelwise Analytics</t>
        </is>
      </c>
      <c r="D27" s="6" t="inlineStr">
        <is>
          <t>US</t>
        </is>
      </c>
      <c r="E27" s="6" t="inlineStr">
        <is>
          <t>bigdata</t>
        </is>
      </c>
      <c r="F27" s="6" t="inlineStr">
        <is>
          <t>Node.js, Kafka, Spark, AWS</t>
        </is>
      </c>
      <c r="G27" s="6" t="inlineStr">
        <is>
          <t>tm</t>
        </is>
      </c>
      <c r="H27" s="6" t="inlineStr">
        <is>
          <t>USD</t>
        </is>
      </c>
      <c r="I27" s="16" t="n">
        <v>37400</v>
      </c>
      <c r="J27" s="16" t="n">
        <v>1037</v>
      </c>
      <c r="K27" s="16" t="n">
        <v>1211</v>
      </c>
      <c r="L27" s="42">
        <f>IF(J27&gt;0,K27/J27-1,0)</f>
        <v/>
      </c>
      <c r="M27" s="6" t="inlineStr">
        <is>
          <t>2017-04-03</t>
        </is>
      </c>
      <c r="N27" s="6" t="inlineStr">
        <is>
          <t>2018-01-01</t>
        </is>
      </c>
      <c r="O27" s="6" t="n">
        <v>3</v>
      </c>
      <c r="P27" s="6" t="inlineStr">
        <is>
          <t>tracking, etl, reporting, cloud_infra</t>
        </is>
      </c>
      <c r="Q27" s="6" t="inlineStr">
        <is>
          <t>Traffic spikes forced re-architecture of ingestion</t>
        </is>
      </c>
    </row>
    <row r="28">
      <c r="A28" s="6" t="inlineStr">
        <is>
          <t>P125</t>
        </is>
      </c>
      <c r="B28" s="6" t="inlineStr">
        <is>
          <t>360 web monitoring dashboard</t>
        </is>
      </c>
      <c r="C28" s="6" t="inlineStr">
        <is>
          <t>Pixelwise Analytics</t>
        </is>
      </c>
      <c r="D28" s="6" t="inlineStr">
        <is>
          <t>US</t>
        </is>
      </c>
      <c r="E28" s="6" t="inlineStr">
        <is>
          <t>bi</t>
        </is>
      </c>
      <c r="F28" s="6" t="inlineStr">
        <is>
          <t>React, Python, ClickHouse, AWS</t>
        </is>
      </c>
      <c r="G28" s="6" t="inlineStr">
        <is>
          <t>fixed</t>
        </is>
      </c>
      <c r="H28" s="6" t="inlineStr">
        <is>
          <t>USD</t>
        </is>
      </c>
      <c r="I28" s="16" t="n">
        <v>30400</v>
      </c>
      <c r="J28" s="16" t="n">
        <v>878</v>
      </c>
      <c r="K28" s="16" t="n">
        <v>899</v>
      </c>
      <c r="L28" s="42">
        <f>IF(J28&gt;0,K28/J28-1,0)</f>
        <v/>
      </c>
      <c r="M28" s="6" t="inlineStr">
        <is>
          <t>2021-11-01</t>
        </is>
      </c>
      <c r="N28" s="6" t="inlineStr">
        <is>
          <t>2022-03-07</t>
        </is>
      </c>
      <c r="O28" s="6" t="n">
        <v>3</v>
      </c>
      <c r="P28" s="6" t="inlineStr">
        <is>
          <t>reporting, tracking, realtime, auth</t>
        </is>
      </c>
      <c r="Q28" s="6" t="inlineStr">
        <is>
          <t>Delivered on time</t>
        </is>
      </c>
    </row>
    <row r="29">
      <c r="A29" s="6" t="inlineStr">
        <is>
          <t>P126</t>
        </is>
      </c>
      <c r="B29" s="6" t="inlineStr">
        <is>
          <t>Smart-meter analytics</t>
        </is>
      </c>
      <c r="C29" s="6" t="inlineStr">
        <is>
          <t>Nordlicht Energie AG</t>
        </is>
      </c>
      <c r="D29" s="6" t="inlineStr">
        <is>
          <t>DE</t>
        </is>
      </c>
      <c r="E29" s="6" t="inlineStr">
        <is>
          <t>iot</t>
        </is>
      </c>
      <c r="F29" s="6" t="inlineStr">
        <is>
          <t>Python, Azure IoT Hub, Power BI</t>
        </is>
      </c>
      <c r="G29" s="6" t="inlineStr">
        <is>
          <t>fixed</t>
        </is>
      </c>
      <c r="H29" s="6" t="inlineStr">
        <is>
          <t>EUR</t>
        </is>
      </c>
      <c r="I29" s="16" t="n">
        <v>39000</v>
      </c>
      <c r="J29" s="16" t="n">
        <v>1150</v>
      </c>
      <c r="K29" s="16" t="n">
        <v>1346</v>
      </c>
      <c r="L29" s="42">
        <f>IF(J29&gt;0,K29/J29-1,0)</f>
        <v/>
      </c>
      <c r="M29" s="6" t="inlineStr">
        <is>
          <t>2024-10-07</t>
        </is>
      </c>
      <c r="N29" s="6" t="inlineStr">
        <is>
          <t>2025-03-24</t>
        </is>
      </c>
      <c r="O29" s="6" t="n">
        <v>3</v>
      </c>
      <c r="P29" s="6" t="inlineStr">
        <is>
          <t>iot, etl, reporting, compliance, cloud_infra</t>
        </is>
      </c>
      <c r="Q29" s="6" t="inlineStr">
        <is>
          <t>Field testing delayed by hardware shipping</t>
        </is>
      </c>
    </row>
    <row r="30">
      <c r="A30" s="6" t="inlineStr">
        <is>
          <t>P127</t>
        </is>
      </c>
      <c r="B30" s="6" t="inlineStr">
        <is>
          <t>Language-learning app</t>
        </is>
      </c>
      <c r="C30" s="6" t="inlineStr">
        <is>
          <t>Sakura Learning KK</t>
        </is>
      </c>
      <c r="D30" s="6" t="inlineStr">
        <is>
          <t>JP</t>
        </is>
      </c>
      <c r="E30" s="6" t="inlineStr">
        <is>
          <t>mobile</t>
        </is>
      </c>
      <c r="F30" s="6" t="inlineStr">
        <is>
          <t>React Native, Node.js, OpenAI API</t>
        </is>
      </c>
      <c r="G30" s="6" t="inlineStr">
        <is>
          <t>tm</t>
        </is>
      </c>
      <c r="H30" s="6" t="inlineStr">
        <is>
          <t>USD</t>
        </is>
      </c>
      <c r="I30" s="16" t="n">
        <v>53400</v>
      </c>
      <c r="J30" s="16" t="n">
        <v>1616</v>
      </c>
      <c r="K30" s="16" t="n">
        <v>1946</v>
      </c>
      <c r="L30" s="42">
        <f>IF(J30&gt;0,K30/J30-1,0)</f>
        <v/>
      </c>
      <c r="M30" s="6" t="inlineStr">
        <is>
          <t>2025-05-05</t>
        </is>
      </c>
      <c r="N30" s="6" t="inlineStr">
        <is>
          <t>2025-12-08</t>
        </is>
      </c>
      <c r="O30" s="6" t="n">
        <v>3</v>
      </c>
      <c r="P30" s="6" t="inlineStr">
        <is>
          <t>mobile_app, llm_assistant, auth, cms, payments</t>
        </is>
      </c>
      <c r="Q30" s="6" t="inlineStr">
        <is>
          <t>App-store review added 2 weeks</t>
        </is>
      </c>
    </row>
    <row r="31">
      <c r="A31" s="6" t="inlineStr">
        <is>
          <t>P128</t>
        </is>
      </c>
      <c r="B31" s="6" t="inlineStr">
        <is>
          <t>Sales CRM customization</t>
        </is>
      </c>
      <c r="C31" s="6" t="inlineStr">
        <is>
          <t>MediLink Partners</t>
        </is>
      </c>
      <c r="D31" s="6" t="inlineStr">
        <is>
          <t>US</t>
        </is>
      </c>
      <c r="E31" s="6" t="inlineStr">
        <is>
          <t>crm</t>
        </is>
      </c>
      <c r="F31" s="6" t="inlineStr">
        <is>
          <t>.NET Core, React, Salesforce API</t>
        </is>
      </c>
      <c r="G31" s="6" t="inlineStr">
        <is>
          <t>fixed</t>
        </is>
      </c>
      <c r="H31" s="6" t="inlineStr">
        <is>
          <t>USD</t>
        </is>
      </c>
      <c r="I31" s="16" t="n">
        <v>29300</v>
      </c>
      <c r="J31" s="16" t="n">
        <v>881</v>
      </c>
      <c r="K31" s="16" t="n">
        <v>947</v>
      </c>
      <c r="L31" s="42">
        <f>IF(J31&gt;0,K31/J31-1,0)</f>
        <v/>
      </c>
      <c r="M31" s="6" t="inlineStr">
        <is>
          <t>2025-03-03</t>
        </is>
      </c>
      <c r="N31" s="6" t="inlineStr">
        <is>
          <t>2025-06-30</t>
        </is>
      </c>
      <c r="O31" s="6" t="n">
        <v>3</v>
      </c>
      <c r="P31" s="6" t="inlineStr">
        <is>
          <t>crm, integration, reporting, auth</t>
        </is>
      </c>
      <c r="Q31" s="6" t="inlineStr">
        <is>
          <t>Salesforce API limits needed batching redesign</t>
        </is>
      </c>
    </row>
    <row r="32">
      <c r="A32" s="6" t="inlineStr">
        <is>
          <t>P129</t>
        </is>
      </c>
      <c r="B32" s="6" t="inlineStr">
        <is>
          <t>Demand forecasting model</t>
        </is>
      </c>
      <c r="C32" s="6" t="inlineStr">
        <is>
          <t>Vandenberg Retail NV</t>
        </is>
      </c>
      <c r="D32" s="6" t="inlineStr">
        <is>
          <t>BE</t>
        </is>
      </c>
      <c r="E32" s="6" t="inlineStr">
        <is>
          <t>ai</t>
        </is>
      </c>
      <c r="F32" s="6" t="inlineStr">
        <is>
          <t>Python, scikit-learn, Snowflake, AWS SageMaker</t>
        </is>
      </c>
      <c r="G32" s="6" t="inlineStr">
        <is>
          <t>tm</t>
        </is>
      </c>
      <c r="H32" s="6" t="inlineStr">
        <is>
          <t>EUR</t>
        </is>
      </c>
      <c r="I32" s="16" t="n">
        <v>30400</v>
      </c>
      <c r="J32" s="16" t="n">
        <v>828</v>
      </c>
      <c r="K32" s="16" t="n">
        <v>1081</v>
      </c>
      <c r="L32" s="42">
        <f>IF(J32&gt;0,K32/J32-1,0)</f>
        <v/>
      </c>
      <c r="M32" s="6" t="inlineStr">
        <is>
          <t>2025-07-07</t>
        </is>
      </c>
      <c r="N32" s="6" t="inlineStr">
        <is>
          <t>2025-11-03</t>
        </is>
      </c>
      <c r="O32" s="6" t="n">
        <v>3</v>
      </c>
      <c r="P32" s="6" t="inlineStr">
        <is>
          <t>ml_model, etl, reporting</t>
        </is>
      </c>
      <c r="Q32" s="6" t="inlineStr">
        <is>
          <t>Client changed the knowledge base mid-project</t>
        </is>
      </c>
    </row>
    <row r="33">
      <c r="A33" s="6" t="inlineStr">
        <is>
          <t>P130</t>
        </is>
      </c>
      <c r="B33" s="6" t="inlineStr">
        <is>
          <t>Customer support RAG assistant</t>
        </is>
      </c>
      <c r="C33" s="6" t="inlineStr">
        <is>
          <t>PayNest</t>
        </is>
      </c>
      <c r="D33" s="6" t="inlineStr">
        <is>
          <t>UK</t>
        </is>
      </c>
      <c r="E33" s="6" t="inlineStr">
        <is>
          <t>ai</t>
        </is>
      </c>
      <c r="F33" s="6" t="inlineStr">
        <is>
          <t>Python, OpenAI API, PostgreSQL pgvector, React</t>
        </is>
      </c>
      <c r="G33" s="6" t="inlineStr">
        <is>
          <t>fixed</t>
        </is>
      </c>
      <c r="H33" s="6" t="inlineStr">
        <is>
          <t>GBP</t>
        </is>
      </c>
      <c r="I33" s="16" t="n">
        <v>26700</v>
      </c>
      <c r="J33" s="16" t="n">
        <v>896</v>
      </c>
      <c r="K33" s="16" t="n">
        <v>1162</v>
      </c>
      <c r="L33" s="42">
        <f>IF(J33&gt;0,K33/J33-1,0)</f>
        <v/>
      </c>
      <c r="M33" s="6" t="inlineStr">
        <is>
          <t>2025-08-04</t>
        </is>
      </c>
      <c r="N33" s="6" t="inlineStr">
        <is>
          <t>2025-12-01</t>
        </is>
      </c>
      <c r="O33" s="6" t="n">
        <v>3</v>
      </c>
      <c r="P33" s="6" t="inlineStr">
        <is>
          <t>llm_assistant, integration, compliance, admin_panel</t>
        </is>
      </c>
      <c r="Q33" s="6" t="inlineStr">
        <is>
          <t>Client changed the knowledge base mid-project</t>
        </is>
      </c>
    </row>
    <row r="34">
      <c r="I34" s="40" t="inlineStr">
        <is>
          <t>All projects</t>
        </is>
      </c>
      <c r="J34" s="26">
        <f>SUM(J4:J33)</f>
        <v/>
      </c>
      <c r="K34" s="26">
        <f>SUM(K4:K33)</f>
        <v/>
      </c>
      <c r="L34" s="43">
        <f>IF(J34&gt;0,K34/J34-1,0)</f>
        <v/>
      </c>
    </row>
  </sheetData>
  <autoFilter ref="A3:Q33"/>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621"/>
  <sheetViews>
    <sheetView showGridLines="1" workbookViewId="0">
      <pane ySplit="1" topLeftCell="A2" activePane="bottomLeft" state="frozen"/>
      <selection pane="bottomLeft" activeCell="A1" sqref="A1"/>
    </sheetView>
  </sheetViews>
  <sheetFormatPr baseColWidth="8" defaultRowHeight="15"/>
  <cols>
    <col width="10" customWidth="1" min="1" max="1"/>
    <col width="18" customWidth="1" min="2" max="2"/>
    <col width="12" customWidth="1" min="3" max="3"/>
    <col width="10" customWidth="1" min="4" max="4"/>
    <col width="12" customWidth="1" min="5" max="5"/>
    <col width="12" customWidth="1" min="6" max="6"/>
  </cols>
  <sheetData>
    <row r="1">
      <c r="A1" s="14" t="inlineStr">
        <is>
          <t>Project</t>
        </is>
      </c>
      <c r="B1" s="14" t="inlineStr">
        <is>
          <t>Module</t>
        </is>
      </c>
      <c r="C1" s="14" t="inlineStr">
        <is>
          <t>Complexity</t>
        </is>
      </c>
      <c r="D1" s="14" t="inlineStr">
        <is>
          <t>Role</t>
        </is>
      </c>
      <c r="E1" s="14" t="inlineStr">
        <is>
          <t>Est. hours</t>
        </is>
      </c>
      <c r="F1" s="14" t="inlineStr">
        <is>
          <t>Actual hours</t>
        </is>
      </c>
    </row>
    <row r="2">
      <c r="A2" s="44" t="inlineStr">
        <is>
          <t>P101</t>
        </is>
      </c>
      <c r="B2" s="44" t="inlineStr">
        <is>
          <t>auth</t>
        </is>
      </c>
      <c r="C2" s="44" t="inlineStr">
        <is>
          <t>high</t>
        </is>
      </c>
      <c r="D2" s="44" t="inlineStr">
        <is>
          <t>ba</t>
        </is>
      </c>
      <c r="E2" s="45" t="n">
        <v>13.7</v>
      </c>
      <c r="F2" s="45" t="n">
        <v>15.2</v>
      </c>
    </row>
    <row r="3">
      <c r="A3" s="44" t="inlineStr">
        <is>
          <t>P101</t>
        </is>
      </c>
      <c r="B3" s="44" t="inlineStr">
        <is>
          <t>auth</t>
        </is>
      </c>
      <c r="C3" s="44" t="inlineStr">
        <is>
          <t>high</t>
        </is>
      </c>
      <c r="D3" s="44" t="inlineStr">
        <is>
          <t>uiux</t>
        </is>
      </c>
      <c r="E3" s="45" t="n">
        <v>20.5</v>
      </c>
      <c r="F3" s="45" t="n">
        <v>22.8</v>
      </c>
    </row>
    <row r="4">
      <c r="A4" s="44" t="inlineStr">
        <is>
          <t>P101</t>
        </is>
      </c>
      <c r="B4" s="44" t="inlineStr">
        <is>
          <t>auth</t>
        </is>
      </c>
      <c r="C4" s="44" t="inlineStr">
        <is>
          <t>high</t>
        </is>
      </c>
      <c r="D4" s="44" t="inlineStr">
        <is>
          <t>fe</t>
        </is>
      </c>
      <c r="E4" s="45" t="n">
        <v>68.40000000000001</v>
      </c>
      <c r="F4" s="45" t="n">
        <v>81.5</v>
      </c>
    </row>
    <row r="5">
      <c r="A5" s="44" t="inlineStr">
        <is>
          <t>P101</t>
        </is>
      </c>
      <c r="B5" s="44" t="inlineStr">
        <is>
          <t>auth</t>
        </is>
      </c>
      <c r="C5" s="44" t="inlineStr">
        <is>
          <t>high</t>
        </is>
      </c>
      <c r="D5" s="44" t="inlineStr">
        <is>
          <t>be</t>
        </is>
      </c>
      <c r="E5" s="45" t="n">
        <v>95.8</v>
      </c>
      <c r="F5" s="45" t="n">
        <v>105.9</v>
      </c>
    </row>
    <row r="6">
      <c r="A6" s="44" t="inlineStr">
        <is>
          <t>P101</t>
        </is>
      </c>
      <c r="B6" s="44" t="inlineStr">
        <is>
          <t>auth</t>
        </is>
      </c>
      <c r="C6" s="44" t="inlineStr">
        <is>
          <t>high</t>
        </is>
      </c>
      <c r="D6" s="44" t="inlineStr">
        <is>
          <t>qa</t>
        </is>
      </c>
      <c r="E6" s="45" t="n">
        <v>41.1</v>
      </c>
      <c r="F6" s="45" t="n">
        <v>44.4</v>
      </c>
    </row>
    <row r="7">
      <c r="A7" s="44" t="inlineStr">
        <is>
          <t>P101</t>
        </is>
      </c>
      <c r="B7" s="44" t="inlineStr">
        <is>
          <t>patient_records</t>
        </is>
      </c>
      <c r="C7" s="44" t="inlineStr">
        <is>
          <t>high</t>
        </is>
      </c>
      <c r="D7" s="44" t="inlineStr">
        <is>
          <t>ba</t>
        </is>
      </c>
      <c r="E7" s="45" t="n">
        <v>68.2</v>
      </c>
      <c r="F7" s="45" t="n">
        <v>70.3</v>
      </c>
    </row>
    <row r="8">
      <c r="A8" s="44" t="inlineStr">
        <is>
          <t>P101</t>
        </is>
      </c>
      <c r="B8" s="44" t="inlineStr">
        <is>
          <t>patient_records</t>
        </is>
      </c>
      <c r="C8" s="44" t="inlineStr">
        <is>
          <t>high</t>
        </is>
      </c>
      <c r="D8" s="44" t="inlineStr">
        <is>
          <t>fe</t>
        </is>
      </c>
      <c r="E8" s="45" t="n">
        <v>136.4</v>
      </c>
      <c r="F8" s="45" t="n">
        <v>157.9</v>
      </c>
    </row>
    <row r="9">
      <c r="A9" s="44" t="inlineStr">
        <is>
          <t>P101</t>
        </is>
      </c>
      <c r="B9" s="44" t="inlineStr">
        <is>
          <t>patient_records</t>
        </is>
      </c>
      <c r="C9" s="44" t="inlineStr">
        <is>
          <t>high</t>
        </is>
      </c>
      <c r="D9" s="44" t="inlineStr">
        <is>
          <t>be</t>
        </is>
      </c>
      <c r="E9" s="45" t="n">
        <v>204.6</v>
      </c>
      <c r="F9" s="45" t="n">
        <v>252.3</v>
      </c>
    </row>
    <row r="10">
      <c r="A10" s="44" t="inlineStr">
        <is>
          <t>P101</t>
        </is>
      </c>
      <c r="B10" s="44" t="inlineStr">
        <is>
          <t>patient_records</t>
        </is>
      </c>
      <c r="C10" s="44" t="inlineStr">
        <is>
          <t>high</t>
        </is>
      </c>
      <c r="D10" s="44" t="inlineStr">
        <is>
          <t>qa</t>
        </is>
      </c>
      <c r="E10" s="45" t="n">
        <v>95.5</v>
      </c>
      <c r="F10" s="45" t="n">
        <v>123.5</v>
      </c>
    </row>
    <row r="11">
      <c r="A11" s="44" t="inlineStr">
        <is>
          <t>P101</t>
        </is>
      </c>
      <c r="B11" s="44" t="inlineStr">
        <is>
          <t>booking</t>
        </is>
      </c>
      <c r="C11" s="44" t="inlineStr">
        <is>
          <t>medium</t>
        </is>
      </c>
      <c r="D11" s="44" t="inlineStr">
        <is>
          <t>ba</t>
        </is>
      </c>
      <c r="E11" s="45" t="n">
        <v>26.5</v>
      </c>
      <c r="F11" s="45" t="n">
        <v>28.6</v>
      </c>
    </row>
    <row r="12">
      <c r="A12" s="44" t="inlineStr">
        <is>
          <t>P101</t>
        </is>
      </c>
      <c r="B12" s="44" t="inlineStr">
        <is>
          <t>booking</t>
        </is>
      </c>
      <c r="C12" s="44" t="inlineStr">
        <is>
          <t>medium</t>
        </is>
      </c>
      <c r="D12" s="44" t="inlineStr">
        <is>
          <t>uiux</t>
        </is>
      </c>
      <c r="E12" s="45" t="n">
        <v>26.5</v>
      </c>
      <c r="F12" s="45" t="n">
        <v>27.8</v>
      </c>
    </row>
    <row r="13">
      <c r="A13" s="44" t="inlineStr">
        <is>
          <t>P101</t>
        </is>
      </c>
      <c r="B13" s="44" t="inlineStr">
        <is>
          <t>booking</t>
        </is>
      </c>
      <c r="C13" s="44" t="inlineStr">
        <is>
          <t>medium</t>
        </is>
      </c>
      <c r="D13" s="44" t="inlineStr">
        <is>
          <t>fe</t>
        </is>
      </c>
      <c r="E13" s="45" t="n">
        <v>70.5</v>
      </c>
      <c r="F13" s="45" t="n">
        <v>83.5</v>
      </c>
    </row>
    <row r="14">
      <c r="A14" s="44" t="inlineStr">
        <is>
          <t>P101</t>
        </is>
      </c>
      <c r="B14" s="44" t="inlineStr">
        <is>
          <t>booking</t>
        </is>
      </c>
      <c r="C14" s="44" t="inlineStr">
        <is>
          <t>medium</t>
        </is>
      </c>
      <c r="D14" s="44" t="inlineStr">
        <is>
          <t>be</t>
        </is>
      </c>
      <c r="E14" s="45" t="n">
        <v>132.3</v>
      </c>
      <c r="F14" s="45" t="n">
        <v>144.8</v>
      </c>
    </row>
    <row r="15">
      <c r="A15" s="44" t="inlineStr">
        <is>
          <t>P101</t>
        </is>
      </c>
      <c r="B15" s="44" t="inlineStr">
        <is>
          <t>booking</t>
        </is>
      </c>
      <c r="C15" s="44" t="inlineStr">
        <is>
          <t>medium</t>
        </is>
      </c>
      <c r="D15" s="44" t="inlineStr">
        <is>
          <t>qa</t>
        </is>
      </c>
      <c r="E15" s="45" t="n">
        <v>61.7</v>
      </c>
      <c r="F15" s="45" t="n">
        <v>71.09999999999999</v>
      </c>
    </row>
    <row r="16">
      <c r="A16" s="44" t="inlineStr">
        <is>
          <t>P101</t>
        </is>
      </c>
      <c r="B16" s="44" t="inlineStr">
        <is>
          <t>notifications</t>
        </is>
      </c>
      <c r="C16" s="44" t="inlineStr">
        <is>
          <t>medium</t>
        </is>
      </c>
      <c r="D16" s="44" t="inlineStr">
        <is>
          <t>be</t>
        </is>
      </c>
      <c r="E16" s="45" t="n">
        <v>40.4</v>
      </c>
      <c r="F16" s="45" t="n">
        <v>43.8</v>
      </c>
    </row>
    <row r="17">
      <c r="A17" s="44" t="inlineStr">
        <is>
          <t>P101</t>
        </is>
      </c>
      <c r="B17" s="44" t="inlineStr">
        <is>
          <t>notifications</t>
        </is>
      </c>
      <c r="C17" s="44" t="inlineStr">
        <is>
          <t>medium</t>
        </is>
      </c>
      <c r="D17" s="44" t="inlineStr">
        <is>
          <t>mobile</t>
        </is>
      </c>
      <c r="E17" s="45" t="n">
        <v>16.2</v>
      </c>
      <c r="F17" s="45" t="n">
        <v>18.4</v>
      </c>
    </row>
    <row r="18">
      <c r="A18" s="44" t="inlineStr">
        <is>
          <t>P101</t>
        </is>
      </c>
      <c r="B18" s="44" t="inlineStr">
        <is>
          <t>notifications</t>
        </is>
      </c>
      <c r="C18" s="44" t="inlineStr">
        <is>
          <t>medium</t>
        </is>
      </c>
      <c r="D18" s="44" t="inlineStr">
        <is>
          <t>qa</t>
        </is>
      </c>
      <c r="E18" s="45" t="n">
        <v>16.2</v>
      </c>
      <c r="F18" s="45" t="n">
        <v>19.6</v>
      </c>
    </row>
    <row r="19">
      <c r="A19" s="44" t="inlineStr">
        <is>
          <t>P101</t>
        </is>
      </c>
      <c r="B19" s="44" t="inlineStr">
        <is>
          <t>compliance</t>
        </is>
      </c>
      <c r="C19" s="44" t="inlineStr">
        <is>
          <t>high</t>
        </is>
      </c>
      <c r="D19" s="44" t="inlineStr">
        <is>
          <t>ba</t>
        </is>
      </c>
      <c r="E19" s="45" t="n">
        <v>27</v>
      </c>
      <c r="F19" s="45" t="n">
        <v>29</v>
      </c>
    </row>
    <row r="20">
      <c r="A20" s="44" t="inlineStr">
        <is>
          <t>P101</t>
        </is>
      </c>
      <c r="B20" s="44" t="inlineStr">
        <is>
          <t>compliance</t>
        </is>
      </c>
      <c r="C20" s="44" t="inlineStr">
        <is>
          <t>high</t>
        </is>
      </c>
      <c r="D20" s="44" t="inlineStr">
        <is>
          <t>be</t>
        </is>
      </c>
      <c r="E20" s="45" t="n">
        <v>107.9</v>
      </c>
      <c r="F20" s="45" t="n">
        <v>121.4</v>
      </c>
    </row>
    <row r="21">
      <c r="A21" s="44" t="inlineStr">
        <is>
          <t>P101</t>
        </is>
      </c>
      <c r="B21" s="44" t="inlineStr">
        <is>
          <t>compliance</t>
        </is>
      </c>
      <c r="C21" s="44" t="inlineStr">
        <is>
          <t>high</t>
        </is>
      </c>
      <c r="D21" s="44" t="inlineStr">
        <is>
          <t>devops</t>
        </is>
      </c>
      <c r="E21" s="45" t="n">
        <v>40.5</v>
      </c>
      <c r="F21" s="45" t="n">
        <v>51.4</v>
      </c>
    </row>
    <row r="22">
      <c r="A22" s="44" t="inlineStr">
        <is>
          <t>P101</t>
        </is>
      </c>
      <c r="B22" s="44" t="inlineStr">
        <is>
          <t>compliance</t>
        </is>
      </c>
      <c r="C22" s="44" t="inlineStr">
        <is>
          <t>high</t>
        </is>
      </c>
      <c r="D22" s="44" t="inlineStr">
        <is>
          <t>qa</t>
        </is>
      </c>
      <c r="E22" s="45" t="n">
        <v>40.5</v>
      </c>
      <c r="F22" s="45" t="n">
        <v>48.7</v>
      </c>
    </row>
    <row r="23">
      <c r="A23" s="44" t="inlineStr">
        <is>
          <t>P101</t>
        </is>
      </c>
      <c r="B23" s="44" t="inlineStr">
        <is>
          <t>web_portal</t>
        </is>
      </c>
      <c r="C23" s="44" t="inlineStr">
        <is>
          <t>medium</t>
        </is>
      </c>
      <c r="D23" s="44" t="inlineStr">
        <is>
          <t>ba</t>
        </is>
      </c>
      <c r="E23" s="45" t="n">
        <v>14.4</v>
      </c>
      <c r="F23" s="45" t="n">
        <v>17.5</v>
      </c>
    </row>
    <row r="24">
      <c r="A24" s="44" t="inlineStr">
        <is>
          <t>P101</t>
        </is>
      </c>
      <c r="B24" s="44" t="inlineStr">
        <is>
          <t>web_portal</t>
        </is>
      </c>
      <c r="C24" s="44" t="inlineStr">
        <is>
          <t>medium</t>
        </is>
      </c>
      <c r="D24" s="44" t="inlineStr">
        <is>
          <t>uiux</t>
        </is>
      </c>
      <c r="E24" s="45" t="n">
        <v>54</v>
      </c>
      <c r="F24" s="45" t="n">
        <v>63</v>
      </c>
    </row>
    <row r="25">
      <c r="A25" s="44" t="inlineStr">
        <is>
          <t>P101</t>
        </is>
      </c>
      <c r="B25" s="44" t="inlineStr">
        <is>
          <t>web_portal</t>
        </is>
      </c>
      <c r="C25" s="44" t="inlineStr">
        <is>
          <t>medium</t>
        </is>
      </c>
      <c r="D25" s="44" t="inlineStr">
        <is>
          <t>fe</t>
        </is>
      </c>
      <c r="E25" s="45" t="n">
        <v>144</v>
      </c>
      <c r="F25" s="45" t="n">
        <v>166.7</v>
      </c>
    </row>
    <row r="26">
      <c r="A26" s="44" t="inlineStr">
        <is>
          <t>P101</t>
        </is>
      </c>
      <c r="B26" s="44" t="inlineStr">
        <is>
          <t>web_portal</t>
        </is>
      </c>
      <c r="C26" s="44" t="inlineStr">
        <is>
          <t>medium</t>
        </is>
      </c>
      <c r="D26" s="44" t="inlineStr">
        <is>
          <t>qa</t>
        </is>
      </c>
      <c r="E26" s="45" t="n">
        <v>36</v>
      </c>
      <c r="F26" s="45" t="n">
        <v>46.1</v>
      </c>
    </row>
    <row r="27">
      <c r="A27" s="44" t="inlineStr">
        <is>
          <t>P101</t>
        </is>
      </c>
      <c r="B27" s="44" t="inlineStr">
        <is>
          <t>cloud_infra</t>
        </is>
      </c>
      <c r="C27" s="44" t="inlineStr">
        <is>
          <t>medium</t>
        </is>
      </c>
      <c r="D27" s="44" t="inlineStr">
        <is>
          <t>be</t>
        </is>
      </c>
      <c r="E27" s="45" t="n">
        <v>16.8</v>
      </c>
      <c r="F27" s="45" t="n">
        <v>19.1</v>
      </c>
    </row>
    <row r="28">
      <c r="A28" s="44" t="inlineStr">
        <is>
          <t>P101</t>
        </is>
      </c>
      <c r="B28" s="44" t="inlineStr">
        <is>
          <t>cloud_infra</t>
        </is>
      </c>
      <c r="C28" s="44" t="inlineStr">
        <is>
          <t>medium</t>
        </is>
      </c>
      <c r="D28" s="44" t="inlineStr">
        <is>
          <t>devops</t>
        </is>
      </c>
      <c r="E28" s="45" t="n">
        <v>84</v>
      </c>
      <c r="F28" s="45" t="n">
        <v>102.1</v>
      </c>
    </row>
    <row r="29">
      <c r="A29" s="44" t="inlineStr">
        <is>
          <t>P101</t>
        </is>
      </c>
      <c r="B29" s="44" t="inlineStr">
        <is>
          <t>management</t>
        </is>
      </c>
      <c r="C29" s="44" t="inlineStr">
        <is>
          <t>medium</t>
        </is>
      </c>
      <c r="D29" s="44" t="inlineStr">
        <is>
          <t>pm</t>
        </is>
      </c>
      <c r="E29" s="45" t="n">
        <v>170</v>
      </c>
      <c r="F29" s="45" t="n">
        <v>191.2</v>
      </c>
    </row>
    <row r="30">
      <c r="A30" s="44" t="inlineStr">
        <is>
          <t>P101</t>
        </is>
      </c>
      <c r="B30" s="44" t="inlineStr">
        <is>
          <t>management</t>
        </is>
      </c>
      <c r="C30" s="44" t="inlineStr">
        <is>
          <t>medium</t>
        </is>
      </c>
      <c r="D30" s="44" t="inlineStr">
        <is>
          <t>lead</t>
        </is>
      </c>
      <c r="E30" s="45" t="n">
        <v>102</v>
      </c>
      <c r="F30" s="45" t="n">
        <v>106.4</v>
      </c>
    </row>
    <row r="31">
      <c r="A31" s="44" t="inlineStr">
        <is>
          <t>P102</t>
        </is>
      </c>
      <c r="B31" s="44" t="inlineStr">
        <is>
          <t>mobile_app</t>
        </is>
      </c>
      <c r="C31" s="44" t="inlineStr">
        <is>
          <t>high</t>
        </is>
      </c>
      <c r="D31" s="44" t="inlineStr">
        <is>
          <t>uiux</t>
        </is>
      </c>
      <c r="E31" s="45" t="n">
        <v>89.3</v>
      </c>
      <c r="F31" s="45" t="n">
        <v>101.1</v>
      </c>
    </row>
    <row r="32">
      <c r="A32" s="44" t="inlineStr">
        <is>
          <t>P102</t>
        </is>
      </c>
      <c r="B32" s="44" t="inlineStr">
        <is>
          <t>mobile_app</t>
        </is>
      </c>
      <c r="C32" s="44" t="inlineStr">
        <is>
          <t>high</t>
        </is>
      </c>
      <c r="D32" s="44" t="inlineStr">
        <is>
          <t>mobile</t>
        </is>
      </c>
      <c r="E32" s="45" t="n">
        <v>476.4</v>
      </c>
      <c r="F32" s="45" t="n">
        <v>537</v>
      </c>
    </row>
    <row r="33">
      <c r="A33" s="44" t="inlineStr">
        <is>
          <t>P102</t>
        </is>
      </c>
      <c r="B33" s="44" t="inlineStr">
        <is>
          <t>mobile_app</t>
        </is>
      </c>
      <c r="C33" s="44" t="inlineStr">
        <is>
          <t>high</t>
        </is>
      </c>
      <c r="D33" s="44" t="inlineStr">
        <is>
          <t>be</t>
        </is>
      </c>
      <c r="E33" s="45" t="n">
        <v>59.5</v>
      </c>
      <c r="F33" s="45" t="n">
        <v>63.5</v>
      </c>
    </row>
    <row r="34">
      <c r="A34" s="44" t="inlineStr">
        <is>
          <t>P102</t>
        </is>
      </c>
      <c r="B34" s="44" t="inlineStr">
        <is>
          <t>mobile_app</t>
        </is>
      </c>
      <c r="C34" s="44" t="inlineStr">
        <is>
          <t>high</t>
        </is>
      </c>
      <c r="D34" s="44" t="inlineStr">
        <is>
          <t>qa</t>
        </is>
      </c>
      <c r="E34" s="45" t="n">
        <v>178.6</v>
      </c>
      <c r="F34" s="45" t="n">
        <v>215.6</v>
      </c>
    </row>
    <row r="35">
      <c r="A35" s="44" t="inlineStr">
        <is>
          <t>P102</t>
        </is>
      </c>
      <c r="B35" s="44" t="inlineStr">
        <is>
          <t>auth</t>
        </is>
      </c>
      <c r="C35" s="44" t="inlineStr">
        <is>
          <t>medium</t>
        </is>
      </c>
      <c r="D35" s="44" t="inlineStr">
        <is>
          <t>ba</t>
        </is>
      </c>
      <c r="E35" s="45" t="n">
        <v>8.1</v>
      </c>
      <c r="F35" s="45" t="n">
        <v>10.3</v>
      </c>
    </row>
    <row r="36">
      <c r="A36" s="44" t="inlineStr">
        <is>
          <t>P102</t>
        </is>
      </c>
      <c r="B36" s="44" t="inlineStr">
        <is>
          <t>auth</t>
        </is>
      </c>
      <c r="C36" s="44" t="inlineStr">
        <is>
          <t>medium</t>
        </is>
      </c>
      <c r="D36" s="44" t="inlineStr">
        <is>
          <t>uiux</t>
        </is>
      </c>
      <c r="E36" s="45" t="n">
        <v>12.2</v>
      </c>
      <c r="F36" s="45" t="n">
        <v>14.4</v>
      </c>
    </row>
    <row r="37">
      <c r="A37" s="44" t="inlineStr">
        <is>
          <t>P102</t>
        </is>
      </c>
      <c r="B37" s="44" t="inlineStr">
        <is>
          <t>auth</t>
        </is>
      </c>
      <c r="C37" s="44" t="inlineStr">
        <is>
          <t>medium</t>
        </is>
      </c>
      <c r="D37" s="44" t="inlineStr">
        <is>
          <t>fe</t>
        </is>
      </c>
      <c r="E37" s="45" t="n">
        <v>40.5</v>
      </c>
      <c r="F37" s="45" t="n">
        <v>53.7</v>
      </c>
    </row>
    <row r="38">
      <c r="A38" s="44" t="inlineStr">
        <is>
          <t>P102</t>
        </is>
      </c>
      <c r="B38" s="44" t="inlineStr">
        <is>
          <t>auth</t>
        </is>
      </c>
      <c r="C38" s="44" t="inlineStr">
        <is>
          <t>medium</t>
        </is>
      </c>
      <c r="D38" s="44" t="inlineStr">
        <is>
          <t>be</t>
        </is>
      </c>
      <c r="E38" s="45" t="n">
        <v>56.7</v>
      </c>
      <c r="F38" s="45" t="n">
        <v>65.59999999999999</v>
      </c>
    </row>
    <row r="39">
      <c r="A39" s="44" t="inlineStr">
        <is>
          <t>P102</t>
        </is>
      </c>
      <c r="B39" s="44" t="inlineStr">
        <is>
          <t>auth</t>
        </is>
      </c>
      <c r="C39" s="44" t="inlineStr">
        <is>
          <t>medium</t>
        </is>
      </c>
      <c r="D39" s="44" t="inlineStr">
        <is>
          <t>qa</t>
        </is>
      </c>
      <c r="E39" s="45" t="n">
        <v>24.3</v>
      </c>
      <c r="F39" s="45" t="n">
        <v>31.7</v>
      </c>
    </row>
    <row r="40">
      <c r="A40" s="44" t="inlineStr">
        <is>
          <t>P102</t>
        </is>
      </c>
      <c r="B40" s="44" t="inlineStr">
        <is>
          <t>booking</t>
        </is>
      </c>
      <c r="C40" s="44" t="inlineStr">
        <is>
          <t>medium</t>
        </is>
      </c>
      <c r="D40" s="44" t="inlineStr">
        <is>
          <t>ba</t>
        </is>
      </c>
      <c r="E40" s="45" t="n">
        <v>23.2</v>
      </c>
      <c r="F40" s="45" t="n">
        <v>25.2</v>
      </c>
    </row>
    <row r="41">
      <c r="A41" s="44" t="inlineStr">
        <is>
          <t>P102</t>
        </is>
      </c>
      <c r="B41" s="44" t="inlineStr">
        <is>
          <t>booking</t>
        </is>
      </c>
      <c r="C41" s="44" t="inlineStr">
        <is>
          <t>medium</t>
        </is>
      </c>
      <c r="D41" s="44" t="inlineStr">
        <is>
          <t>uiux</t>
        </is>
      </c>
      <c r="E41" s="45" t="n">
        <v>23.2</v>
      </c>
      <c r="F41" s="45" t="n">
        <v>27.7</v>
      </c>
    </row>
    <row r="42">
      <c r="A42" s="44" t="inlineStr">
        <is>
          <t>P102</t>
        </is>
      </c>
      <c r="B42" s="44" t="inlineStr">
        <is>
          <t>booking</t>
        </is>
      </c>
      <c r="C42" s="44" t="inlineStr">
        <is>
          <t>medium</t>
        </is>
      </c>
      <c r="D42" s="44" t="inlineStr">
        <is>
          <t>fe</t>
        </is>
      </c>
      <c r="E42" s="45" t="n">
        <v>61.8</v>
      </c>
      <c r="F42" s="45" t="n">
        <v>76.09999999999999</v>
      </c>
    </row>
    <row r="43">
      <c r="A43" s="44" t="inlineStr">
        <is>
          <t>P102</t>
        </is>
      </c>
      <c r="B43" s="44" t="inlineStr">
        <is>
          <t>booking</t>
        </is>
      </c>
      <c r="C43" s="44" t="inlineStr">
        <is>
          <t>medium</t>
        </is>
      </c>
      <c r="D43" s="44" t="inlineStr">
        <is>
          <t>be</t>
        </is>
      </c>
      <c r="E43" s="45" t="n">
        <v>115.8</v>
      </c>
      <c r="F43" s="45" t="n">
        <v>137.4</v>
      </c>
    </row>
    <row r="44">
      <c r="A44" s="44" t="inlineStr">
        <is>
          <t>P102</t>
        </is>
      </c>
      <c r="B44" s="44" t="inlineStr">
        <is>
          <t>booking</t>
        </is>
      </c>
      <c r="C44" s="44" t="inlineStr">
        <is>
          <t>medium</t>
        </is>
      </c>
      <c r="D44" s="44" t="inlineStr">
        <is>
          <t>qa</t>
        </is>
      </c>
      <c r="E44" s="45" t="n">
        <v>54.1</v>
      </c>
      <c r="F44" s="45" t="n">
        <v>70.8</v>
      </c>
    </row>
    <row r="45">
      <c r="A45" s="44" t="inlineStr">
        <is>
          <t>P102</t>
        </is>
      </c>
      <c r="B45" s="44" t="inlineStr">
        <is>
          <t>notifications</t>
        </is>
      </c>
      <c r="C45" s="44" t="inlineStr">
        <is>
          <t>medium</t>
        </is>
      </c>
      <c r="D45" s="44" t="inlineStr">
        <is>
          <t>be</t>
        </is>
      </c>
      <c r="E45" s="45" t="n">
        <v>43.7</v>
      </c>
      <c r="F45" s="45" t="n">
        <v>52.1</v>
      </c>
    </row>
    <row r="46">
      <c r="A46" s="44" t="inlineStr">
        <is>
          <t>P102</t>
        </is>
      </c>
      <c r="B46" s="44" t="inlineStr">
        <is>
          <t>notifications</t>
        </is>
      </c>
      <c r="C46" s="44" t="inlineStr">
        <is>
          <t>medium</t>
        </is>
      </c>
      <c r="D46" s="44" t="inlineStr">
        <is>
          <t>mobile</t>
        </is>
      </c>
      <c r="E46" s="45" t="n">
        <v>17.5</v>
      </c>
      <c r="F46" s="45" t="n">
        <v>22.2</v>
      </c>
    </row>
    <row r="47">
      <c r="A47" s="44" t="inlineStr">
        <is>
          <t>P102</t>
        </is>
      </c>
      <c r="B47" s="44" t="inlineStr">
        <is>
          <t>notifications</t>
        </is>
      </c>
      <c r="C47" s="44" t="inlineStr">
        <is>
          <t>medium</t>
        </is>
      </c>
      <c r="D47" s="44" t="inlineStr">
        <is>
          <t>qa</t>
        </is>
      </c>
      <c r="E47" s="45" t="n">
        <v>17.5</v>
      </c>
      <c r="F47" s="45" t="n">
        <v>20.9</v>
      </c>
    </row>
    <row r="48">
      <c r="A48" s="44" t="inlineStr">
        <is>
          <t>P102</t>
        </is>
      </c>
      <c r="B48" s="44" t="inlineStr">
        <is>
          <t>integration</t>
        </is>
      </c>
      <c r="C48" s="44" t="inlineStr">
        <is>
          <t>medium</t>
        </is>
      </c>
      <c r="D48" s="44" t="inlineStr">
        <is>
          <t>ba</t>
        </is>
      </c>
      <c r="E48" s="45" t="n">
        <v>11.3</v>
      </c>
      <c r="F48" s="45" t="n">
        <v>13.1</v>
      </c>
    </row>
    <row r="49">
      <c r="A49" s="44" t="inlineStr">
        <is>
          <t>P102</t>
        </is>
      </c>
      <c r="B49" s="44" t="inlineStr">
        <is>
          <t>integration</t>
        </is>
      </c>
      <c r="C49" s="44" t="inlineStr">
        <is>
          <t>medium</t>
        </is>
      </c>
      <c r="D49" s="44" t="inlineStr">
        <is>
          <t>be</t>
        </is>
      </c>
      <c r="E49" s="45" t="n">
        <v>67.59999999999999</v>
      </c>
      <c r="F49" s="45" t="n">
        <v>88</v>
      </c>
    </row>
    <row r="50">
      <c r="A50" s="44" t="inlineStr">
        <is>
          <t>P102</t>
        </is>
      </c>
      <c r="B50" s="44" t="inlineStr">
        <is>
          <t>integration</t>
        </is>
      </c>
      <c r="C50" s="44" t="inlineStr">
        <is>
          <t>medium</t>
        </is>
      </c>
      <c r="D50" s="44" t="inlineStr">
        <is>
          <t>qa</t>
        </is>
      </c>
      <c r="E50" s="45" t="n">
        <v>22.5</v>
      </c>
      <c r="F50" s="45" t="n">
        <v>26.9</v>
      </c>
    </row>
    <row r="51">
      <c r="A51" s="44" t="inlineStr">
        <is>
          <t>P102</t>
        </is>
      </c>
      <c r="B51" s="44" t="inlineStr">
        <is>
          <t>compliance</t>
        </is>
      </c>
      <c r="C51" s="44" t="inlineStr">
        <is>
          <t>medium</t>
        </is>
      </c>
      <c r="D51" s="44" t="inlineStr">
        <is>
          <t>ba</t>
        </is>
      </c>
      <c r="E51" s="45" t="n">
        <v>16.1</v>
      </c>
      <c r="F51" s="45" t="n">
        <v>19.5</v>
      </c>
    </row>
    <row r="52">
      <c r="A52" s="44" t="inlineStr">
        <is>
          <t>P102</t>
        </is>
      </c>
      <c r="B52" s="44" t="inlineStr">
        <is>
          <t>compliance</t>
        </is>
      </c>
      <c r="C52" s="44" t="inlineStr">
        <is>
          <t>medium</t>
        </is>
      </c>
      <c r="D52" s="44" t="inlineStr">
        <is>
          <t>be</t>
        </is>
      </c>
      <c r="E52" s="45" t="n">
        <v>64.5</v>
      </c>
      <c r="F52" s="45" t="n">
        <v>85.3</v>
      </c>
    </row>
    <row r="53">
      <c r="A53" s="44" t="inlineStr">
        <is>
          <t>P102</t>
        </is>
      </c>
      <c r="B53" s="44" t="inlineStr">
        <is>
          <t>compliance</t>
        </is>
      </c>
      <c r="C53" s="44" t="inlineStr">
        <is>
          <t>medium</t>
        </is>
      </c>
      <c r="D53" s="44" t="inlineStr">
        <is>
          <t>devops</t>
        </is>
      </c>
      <c r="E53" s="45" t="n">
        <v>24.2</v>
      </c>
      <c r="F53" s="45" t="n">
        <v>32.1</v>
      </c>
    </row>
    <row r="54">
      <c r="A54" s="44" t="inlineStr">
        <is>
          <t>P102</t>
        </is>
      </c>
      <c r="B54" s="44" t="inlineStr">
        <is>
          <t>compliance</t>
        </is>
      </c>
      <c r="C54" s="44" t="inlineStr">
        <is>
          <t>medium</t>
        </is>
      </c>
      <c r="D54" s="44" t="inlineStr">
        <is>
          <t>qa</t>
        </is>
      </c>
      <c r="E54" s="45" t="n">
        <v>24.2</v>
      </c>
      <c r="F54" s="45" t="n">
        <v>30.6</v>
      </c>
    </row>
    <row r="55">
      <c r="A55" s="44" t="inlineStr">
        <is>
          <t>P102</t>
        </is>
      </c>
      <c r="B55" s="44" t="inlineStr">
        <is>
          <t>management</t>
        </is>
      </c>
      <c r="C55" s="44" t="inlineStr">
        <is>
          <t>medium</t>
        </is>
      </c>
      <c r="D55" s="44" t="inlineStr">
        <is>
          <t>pm</t>
        </is>
      </c>
      <c r="E55" s="45" t="n">
        <v>153.3</v>
      </c>
      <c r="F55" s="45" t="n">
        <v>174.9</v>
      </c>
    </row>
    <row r="56">
      <c r="A56" s="44" t="inlineStr">
        <is>
          <t>P102</t>
        </is>
      </c>
      <c r="B56" s="44" t="inlineStr">
        <is>
          <t>management</t>
        </is>
      </c>
      <c r="C56" s="44" t="inlineStr">
        <is>
          <t>medium</t>
        </is>
      </c>
      <c r="D56" s="44" t="inlineStr">
        <is>
          <t>lead</t>
        </is>
      </c>
      <c r="E56" s="45" t="n">
        <v>92</v>
      </c>
      <c r="F56" s="45" t="n">
        <v>95.90000000000001</v>
      </c>
    </row>
    <row r="57">
      <c r="A57" s="44" t="inlineStr">
        <is>
          <t>P103</t>
        </is>
      </c>
      <c r="B57" s="44" t="inlineStr">
        <is>
          <t>etl</t>
        </is>
      </c>
      <c r="C57" s="44" t="inlineStr">
        <is>
          <t>medium</t>
        </is>
      </c>
      <c r="D57" s="44" t="inlineStr">
        <is>
          <t>be</t>
        </is>
      </c>
      <c r="E57" s="45" t="n">
        <v>25.9</v>
      </c>
      <c r="F57" s="45" t="n">
        <v>28</v>
      </c>
    </row>
    <row r="58">
      <c r="A58" s="44" t="inlineStr">
        <is>
          <t>P103</t>
        </is>
      </c>
      <c r="B58" s="44" t="inlineStr">
        <is>
          <t>etl</t>
        </is>
      </c>
      <c r="C58" s="44" t="inlineStr">
        <is>
          <t>medium</t>
        </is>
      </c>
      <c r="D58" s="44" t="inlineStr">
        <is>
          <t>data</t>
        </is>
      </c>
      <c r="E58" s="45" t="n">
        <v>129.4</v>
      </c>
      <c r="F58" s="45" t="n">
        <v>140.3</v>
      </c>
    </row>
    <row r="59">
      <c r="A59" s="44" t="inlineStr">
        <is>
          <t>P103</t>
        </is>
      </c>
      <c r="B59" s="44" t="inlineStr">
        <is>
          <t>etl</t>
        </is>
      </c>
      <c r="C59" s="44" t="inlineStr">
        <is>
          <t>medium</t>
        </is>
      </c>
      <c r="D59" s="44" t="inlineStr">
        <is>
          <t>devops</t>
        </is>
      </c>
      <c r="E59" s="45" t="n">
        <v>17.3</v>
      </c>
      <c r="F59" s="45" t="n">
        <v>17.5</v>
      </c>
    </row>
    <row r="60">
      <c r="A60" s="44" t="inlineStr">
        <is>
          <t>P103</t>
        </is>
      </c>
      <c r="B60" s="44" t="inlineStr">
        <is>
          <t>etl</t>
        </is>
      </c>
      <c r="C60" s="44" t="inlineStr">
        <is>
          <t>medium</t>
        </is>
      </c>
      <c r="D60" s="44" t="inlineStr">
        <is>
          <t>qa</t>
        </is>
      </c>
      <c r="E60" s="45" t="n">
        <v>25.9</v>
      </c>
      <c r="F60" s="45" t="n">
        <v>29.1</v>
      </c>
    </row>
    <row r="61">
      <c r="A61" s="44" t="inlineStr">
        <is>
          <t>P103</t>
        </is>
      </c>
      <c r="B61" s="44" t="inlineStr">
        <is>
          <t>reporting</t>
        </is>
      </c>
      <c r="C61" s="44" t="inlineStr">
        <is>
          <t>high</t>
        </is>
      </c>
      <c r="D61" s="44" t="inlineStr">
        <is>
          <t>uiux</t>
        </is>
      </c>
      <c r="E61" s="45" t="n">
        <v>22.5</v>
      </c>
      <c r="F61" s="45" t="n">
        <v>22.6</v>
      </c>
    </row>
    <row r="62">
      <c r="A62" s="44" t="inlineStr">
        <is>
          <t>P103</t>
        </is>
      </c>
      <c r="B62" s="44" t="inlineStr">
        <is>
          <t>reporting</t>
        </is>
      </c>
      <c r="C62" s="44" t="inlineStr">
        <is>
          <t>high</t>
        </is>
      </c>
      <c r="D62" s="44" t="inlineStr">
        <is>
          <t>fe</t>
        </is>
      </c>
      <c r="E62" s="45" t="n">
        <v>78.8</v>
      </c>
      <c r="F62" s="45" t="n">
        <v>82.5</v>
      </c>
    </row>
    <row r="63">
      <c r="A63" s="44" t="inlineStr">
        <is>
          <t>P103</t>
        </is>
      </c>
      <c r="B63" s="44" t="inlineStr">
        <is>
          <t>reporting</t>
        </is>
      </c>
      <c r="C63" s="44" t="inlineStr">
        <is>
          <t>high</t>
        </is>
      </c>
      <c r="D63" s="44" t="inlineStr">
        <is>
          <t>be</t>
        </is>
      </c>
      <c r="E63" s="45" t="n">
        <v>56.3</v>
      </c>
      <c r="F63" s="45" t="n">
        <v>61.1</v>
      </c>
    </row>
    <row r="64">
      <c r="A64" s="44" t="inlineStr">
        <is>
          <t>P103</t>
        </is>
      </c>
      <c r="B64" s="44" t="inlineStr">
        <is>
          <t>reporting</t>
        </is>
      </c>
      <c r="C64" s="44" t="inlineStr">
        <is>
          <t>high</t>
        </is>
      </c>
      <c r="D64" s="44" t="inlineStr">
        <is>
          <t>data</t>
        </is>
      </c>
      <c r="E64" s="45" t="n">
        <v>56.3</v>
      </c>
      <c r="F64" s="45" t="n">
        <v>59.1</v>
      </c>
    </row>
    <row r="65">
      <c r="A65" s="44" t="inlineStr">
        <is>
          <t>P103</t>
        </is>
      </c>
      <c r="B65" s="44" t="inlineStr">
        <is>
          <t>reporting</t>
        </is>
      </c>
      <c r="C65" s="44" t="inlineStr">
        <is>
          <t>high</t>
        </is>
      </c>
      <c r="D65" s="44" t="inlineStr">
        <is>
          <t>qa</t>
        </is>
      </c>
      <c r="E65" s="45" t="n">
        <v>33.8</v>
      </c>
      <c r="F65" s="45" t="n">
        <v>35.2</v>
      </c>
    </row>
    <row r="66">
      <c r="A66" s="44" t="inlineStr">
        <is>
          <t>P103</t>
        </is>
      </c>
      <c r="B66" s="44" t="inlineStr">
        <is>
          <t>auth</t>
        </is>
      </c>
      <c r="C66" s="44" t="inlineStr">
        <is>
          <t>low</t>
        </is>
      </c>
      <c r="D66" s="44" t="inlineStr">
        <is>
          <t>ba</t>
        </is>
      </c>
      <c r="E66" s="45" t="n">
        <v>4.9</v>
      </c>
      <c r="F66" s="45" t="n">
        <v>4.8</v>
      </c>
    </row>
    <row r="67">
      <c r="A67" s="44" t="inlineStr">
        <is>
          <t>P103</t>
        </is>
      </c>
      <c r="B67" s="44" t="inlineStr">
        <is>
          <t>auth</t>
        </is>
      </c>
      <c r="C67" s="44" t="inlineStr">
        <is>
          <t>low</t>
        </is>
      </c>
      <c r="D67" s="44" t="inlineStr">
        <is>
          <t>uiux</t>
        </is>
      </c>
      <c r="E67" s="45" t="n">
        <v>7.3</v>
      </c>
      <c r="F67" s="45" t="n">
        <v>8.300000000000001</v>
      </c>
    </row>
    <row r="68">
      <c r="A68" s="44" t="inlineStr">
        <is>
          <t>P103</t>
        </is>
      </c>
      <c r="B68" s="44" t="inlineStr">
        <is>
          <t>auth</t>
        </is>
      </c>
      <c r="C68" s="44" t="inlineStr">
        <is>
          <t>low</t>
        </is>
      </c>
      <c r="D68" s="44" t="inlineStr">
        <is>
          <t>fe</t>
        </is>
      </c>
      <c r="E68" s="45" t="n">
        <v>24.4</v>
      </c>
      <c r="F68" s="45" t="n">
        <v>26.7</v>
      </c>
    </row>
    <row r="69">
      <c r="A69" s="44" t="inlineStr">
        <is>
          <t>P103</t>
        </is>
      </c>
      <c r="B69" s="44" t="inlineStr">
        <is>
          <t>auth</t>
        </is>
      </c>
      <c r="C69" s="44" t="inlineStr">
        <is>
          <t>low</t>
        </is>
      </c>
      <c r="D69" s="44" t="inlineStr">
        <is>
          <t>be</t>
        </is>
      </c>
      <c r="E69" s="45" t="n">
        <v>34.1</v>
      </c>
      <c r="F69" s="45" t="n">
        <v>36.1</v>
      </c>
    </row>
    <row r="70">
      <c r="A70" s="44" t="inlineStr">
        <is>
          <t>P103</t>
        </is>
      </c>
      <c r="B70" s="44" t="inlineStr">
        <is>
          <t>auth</t>
        </is>
      </c>
      <c r="C70" s="44" t="inlineStr">
        <is>
          <t>low</t>
        </is>
      </c>
      <c r="D70" s="44" t="inlineStr">
        <is>
          <t>qa</t>
        </is>
      </c>
      <c r="E70" s="45" t="n">
        <v>14.6</v>
      </c>
      <c r="F70" s="45" t="n">
        <v>17.6</v>
      </c>
    </row>
    <row r="71">
      <c r="A71" s="44" t="inlineStr">
        <is>
          <t>P103</t>
        </is>
      </c>
      <c r="B71" s="44" t="inlineStr">
        <is>
          <t>compliance</t>
        </is>
      </c>
      <c r="C71" s="44" t="inlineStr">
        <is>
          <t>medium</t>
        </is>
      </c>
      <c r="D71" s="44" t="inlineStr">
        <is>
          <t>ba</t>
        </is>
      </c>
      <c r="E71" s="45" t="n">
        <v>16.9</v>
      </c>
      <c r="F71" s="45" t="n">
        <v>14.9</v>
      </c>
    </row>
    <row r="72">
      <c r="A72" s="44" t="inlineStr">
        <is>
          <t>P103</t>
        </is>
      </c>
      <c r="B72" s="44" t="inlineStr">
        <is>
          <t>compliance</t>
        </is>
      </c>
      <c r="C72" s="44" t="inlineStr">
        <is>
          <t>medium</t>
        </is>
      </c>
      <c r="D72" s="44" t="inlineStr">
        <is>
          <t>be</t>
        </is>
      </c>
      <c r="E72" s="45" t="n">
        <v>67.59999999999999</v>
      </c>
      <c r="F72" s="45" t="n">
        <v>60</v>
      </c>
    </row>
    <row r="73">
      <c r="A73" s="44" t="inlineStr">
        <is>
          <t>P103</t>
        </is>
      </c>
      <c r="B73" s="44" t="inlineStr">
        <is>
          <t>compliance</t>
        </is>
      </c>
      <c r="C73" s="44" t="inlineStr">
        <is>
          <t>medium</t>
        </is>
      </c>
      <c r="D73" s="44" t="inlineStr">
        <is>
          <t>devops</t>
        </is>
      </c>
      <c r="E73" s="45" t="n">
        <v>25.3</v>
      </c>
      <c r="F73" s="45" t="n">
        <v>25.6</v>
      </c>
    </row>
    <row r="74">
      <c r="A74" s="44" t="inlineStr">
        <is>
          <t>P103</t>
        </is>
      </c>
      <c r="B74" s="44" t="inlineStr">
        <is>
          <t>compliance</t>
        </is>
      </c>
      <c r="C74" s="44" t="inlineStr">
        <is>
          <t>medium</t>
        </is>
      </c>
      <c r="D74" s="44" t="inlineStr">
        <is>
          <t>qa</t>
        </is>
      </c>
      <c r="E74" s="45" t="n">
        <v>25.3</v>
      </c>
      <c r="F74" s="45" t="n">
        <v>28.2</v>
      </c>
    </row>
    <row r="75">
      <c r="A75" s="44" t="inlineStr">
        <is>
          <t>P103</t>
        </is>
      </c>
      <c r="B75" s="44" t="inlineStr">
        <is>
          <t>management</t>
        </is>
      </c>
      <c r="C75" s="44" t="inlineStr">
        <is>
          <t>medium</t>
        </is>
      </c>
      <c r="D75" s="44" t="inlineStr">
        <is>
          <t>pm</t>
        </is>
      </c>
      <c r="E75" s="45" t="n">
        <v>66.7</v>
      </c>
      <c r="F75" s="45" t="n">
        <v>74.3</v>
      </c>
    </row>
    <row r="76">
      <c r="A76" s="44" t="inlineStr">
        <is>
          <t>P103</t>
        </is>
      </c>
      <c r="B76" s="44" t="inlineStr">
        <is>
          <t>management</t>
        </is>
      </c>
      <c r="C76" s="44" t="inlineStr">
        <is>
          <t>medium</t>
        </is>
      </c>
      <c r="D76" s="44" t="inlineStr">
        <is>
          <t>lead</t>
        </is>
      </c>
      <c r="E76" s="45" t="n">
        <v>40</v>
      </c>
      <c r="F76" s="45" t="n">
        <v>47.1</v>
      </c>
    </row>
    <row r="77">
      <c r="A77" s="44" t="inlineStr">
        <is>
          <t>P104</t>
        </is>
      </c>
      <c r="B77" s="44" t="inlineStr">
        <is>
          <t>booking</t>
        </is>
      </c>
      <c r="C77" s="44" t="inlineStr">
        <is>
          <t>high</t>
        </is>
      </c>
      <c r="D77" s="44" t="inlineStr">
        <is>
          <t>ba</t>
        </is>
      </c>
      <c r="E77" s="45" t="n">
        <v>35.7</v>
      </c>
      <c r="F77" s="45" t="n">
        <v>45.9</v>
      </c>
    </row>
    <row r="78">
      <c r="A78" s="44" t="inlineStr">
        <is>
          <t>P104</t>
        </is>
      </c>
      <c r="B78" s="44" t="inlineStr">
        <is>
          <t>booking</t>
        </is>
      </c>
      <c r="C78" s="44" t="inlineStr">
        <is>
          <t>high</t>
        </is>
      </c>
      <c r="D78" s="44" t="inlineStr">
        <is>
          <t>uiux</t>
        </is>
      </c>
      <c r="E78" s="45" t="n">
        <v>35.7</v>
      </c>
      <c r="F78" s="45" t="n">
        <v>42.5</v>
      </c>
    </row>
    <row r="79">
      <c r="A79" s="44" t="inlineStr">
        <is>
          <t>P104</t>
        </is>
      </c>
      <c r="B79" s="44" t="inlineStr">
        <is>
          <t>booking</t>
        </is>
      </c>
      <c r="C79" s="44" t="inlineStr">
        <is>
          <t>high</t>
        </is>
      </c>
      <c r="D79" s="44" t="inlineStr">
        <is>
          <t>fe</t>
        </is>
      </c>
      <c r="E79" s="45" t="n">
        <v>95.09999999999999</v>
      </c>
      <c r="F79" s="45" t="n">
        <v>106.7</v>
      </c>
    </row>
    <row r="80">
      <c r="A80" s="44" t="inlineStr">
        <is>
          <t>P104</t>
        </is>
      </c>
      <c r="B80" s="44" t="inlineStr">
        <is>
          <t>booking</t>
        </is>
      </c>
      <c r="C80" s="44" t="inlineStr">
        <is>
          <t>high</t>
        </is>
      </c>
      <c r="D80" s="44" t="inlineStr">
        <is>
          <t>be</t>
        </is>
      </c>
      <c r="E80" s="45" t="n">
        <v>178.3</v>
      </c>
      <c r="F80" s="45" t="n">
        <v>198.4</v>
      </c>
    </row>
    <row r="81">
      <c r="A81" s="44" t="inlineStr">
        <is>
          <t>P104</t>
        </is>
      </c>
      <c r="B81" s="44" t="inlineStr">
        <is>
          <t>booking</t>
        </is>
      </c>
      <c r="C81" s="44" t="inlineStr">
        <is>
          <t>high</t>
        </is>
      </c>
      <c r="D81" s="44" t="inlineStr">
        <is>
          <t>qa</t>
        </is>
      </c>
      <c r="E81" s="45" t="n">
        <v>83.2</v>
      </c>
      <c r="F81" s="45" t="n">
        <v>91.09999999999999</v>
      </c>
    </row>
    <row r="82">
      <c r="A82" s="44" t="inlineStr">
        <is>
          <t>P104</t>
        </is>
      </c>
      <c r="B82" s="44" t="inlineStr">
        <is>
          <t>auth</t>
        </is>
      </c>
      <c r="C82" s="44" t="inlineStr">
        <is>
          <t>medium</t>
        </is>
      </c>
      <c r="D82" s="44" t="inlineStr">
        <is>
          <t>ba</t>
        </is>
      </c>
      <c r="E82" s="45" t="n">
        <v>8.4</v>
      </c>
      <c r="F82" s="45" t="n">
        <v>9.300000000000001</v>
      </c>
    </row>
    <row r="83">
      <c r="A83" s="44" t="inlineStr">
        <is>
          <t>P104</t>
        </is>
      </c>
      <c r="B83" s="44" t="inlineStr">
        <is>
          <t>auth</t>
        </is>
      </c>
      <c r="C83" s="44" t="inlineStr">
        <is>
          <t>medium</t>
        </is>
      </c>
      <c r="D83" s="44" t="inlineStr">
        <is>
          <t>uiux</t>
        </is>
      </c>
      <c r="E83" s="45" t="n">
        <v>12.5</v>
      </c>
      <c r="F83" s="45" t="n">
        <v>14.6</v>
      </c>
    </row>
    <row r="84">
      <c r="A84" s="44" t="inlineStr">
        <is>
          <t>P104</t>
        </is>
      </c>
      <c r="B84" s="44" t="inlineStr">
        <is>
          <t>auth</t>
        </is>
      </c>
      <c r="C84" s="44" t="inlineStr">
        <is>
          <t>medium</t>
        </is>
      </c>
      <c r="D84" s="44" t="inlineStr">
        <is>
          <t>fe</t>
        </is>
      </c>
      <c r="E84" s="45" t="n">
        <v>41.8</v>
      </c>
      <c r="F84" s="45" t="n">
        <v>47.5</v>
      </c>
    </row>
    <row r="85">
      <c r="A85" s="44" t="inlineStr">
        <is>
          <t>P104</t>
        </is>
      </c>
      <c r="B85" s="44" t="inlineStr">
        <is>
          <t>auth</t>
        </is>
      </c>
      <c r="C85" s="44" t="inlineStr">
        <is>
          <t>medium</t>
        </is>
      </c>
      <c r="D85" s="44" t="inlineStr">
        <is>
          <t>be</t>
        </is>
      </c>
      <c r="E85" s="45" t="n">
        <v>58.5</v>
      </c>
      <c r="F85" s="45" t="n">
        <v>68.3</v>
      </c>
    </row>
    <row r="86">
      <c r="A86" s="44" t="inlineStr">
        <is>
          <t>P104</t>
        </is>
      </c>
      <c r="B86" s="44" t="inlineStr">
        <is>
          <t>auth</t>
        </is>
      </c>
      <c r="C86" s="44" t="inlineStr">
        <is>
          <t>medium</t>
        </is>
      </c>
      <c r="D86" s="44" t="inlineStr">
        <is>
          <t>qa</t>
        </is>
      </c>
      <c r="E86" s="45" t="n">
        <v>25.1</v>
      </c>
      <c r="F86" s="45" t="n">
        <v>30.2</v>
      </c>
    </row>
    <row r="87">
      <c r="A87" s="44" t="inlineStr">
        <is>
          <t>P104</t>
        </is>
      </c>
      <c r="B87" s="44" t="inlineStr">
        <is>
          <t>admin_panel</t>
        </is>
      </c>
      <c r="C87" s="44" t="inlineStr">
        <is>
          <t>medium</t>
        </is>
      </c>
      <c r="D87" s="44" t="inlineStr">
        <is>
          <t>ba</t>
        </is>
      </c>
      <c r="E87" s="45" t="n">
        <v>17.1</v>
      </c>
      <c r="F87" s="45" t="n">
        <v>19.1</v>
      </c>
    </row>
    <row r="88">
      <c r="A88" s="44" t="inlineStr">
        <is>
          <t>P104</t>
        </is>
      </c>
      <c r="B88" s="44" t="inlineStr">
        <is>
          <t>admin_panel</t>
        </is>
      </c>
      <c r="C88" s="44" t="inlineStr">
        <is>
          <t>medium</t>
        </is>
      </c>
      <c r="D88" s="44" t="inlineStr">
        <is>
          <t>uiux</t>
        </is>
      </c>
      <c r="E88" s="45" t="n">
        <v>25.7</v>
      </c>
      <c r="F88" s="45" t="n">
        <v>31.9</v>
      </c>
    </row>
    <row r="89">
      <c r="A89" s="44" t="inlineStr">
        <is>
          <t>P104</t>
        </is>
      </c>
      <c r="B89" s="44" t="inlineStr">
        <is>
          <t>admin_panel</t>
        </is>
      </c>
      <c r="C89" s="44" t="inlineStr">
        <is>
          <t>medium</t>
        </is>
      </c>
      <c r="D89" s="44" t="inlineStr">
        <is>
          <t>fe</t>
        </is>
      </c>
      <c r="E89" s="45" t="n">
        <v>85.7</v>
      </c>
      <c r="F89" s="45" t="n">
        <v>111.5</v>
      </c>
    </row>
    <row r="90">
      <c r="A90" s="44" t="inlineStr">
        <is>
          <t>P104</t>
        </is>
      </c>
      <c r="B90" s="44" t="inlineStr">
        <is>
          <t>admin_panel</t>
        </is>
      </c>
      <c r="C90" s="44" t="inlineStr">
        <is>
          <t>medium</t>
        </is>
      </c>
      <c r="D90" s="44" t="inlineStr">
        <is>
          <t>be</t>
        </is>
      </c>
      <c r="E90" s="45" t="n">
        <v>77.09999999999999</v>
      </c>
      <c r="F90" s="45" t="n">
        <v>99.90000000000001</v>
      </c>
    </row>
    <row r="91">
      <c r="A91" s="44" t="inlineStr">
        <is>
          <t>P104</t>
        </is>
      </c>
      <c r="B91" s="44" t="inlineStr">
        <is>
          <t>admin_panel</t>
        </is>
      </c>
      <c r="C91" s="44" t="inlineStr">
        <is>
          <t>medium</t>
        </is>
      </c>
      <c r="D91" s="44" t="inlineStr">
        <is>
          <t>qa</t>
        </is>
      </c>
      <c r="E91" s="45" t="n">
        <v>42.8</v>
      </c>
      <c r="F91" s="45" t="n">
        <v>49.2</v>
      </c>
    </row>
    <row r="92">
      <c r="A92" s="44" t="inlineStr">
        <is>
          <t>P104</t>
        </is>
      </c>
      <c r="B92" s="44" t="inlineStr">
        <is>
          <t>notifications</t>
        </is>
      </c>
      <c r="C92" s="44" t="inlineStr">
        <is>
          <t>low</t>
        </is>
      </c>
      <c r="D92" s="44" t="inlineStr">
        <is>
          <t>be</t>
        </is>
      </c>
      <c r="E92" s="45" t="n">
        <v>22.1</v>
      </c>
      <c r="F92" s="45" t="n">
        <v>22.7</v>
      </c>
    </row>
    <row r="93">
      <c r="A93" s="44" t="inlineStr">
        <is>
          <t>P104</t>
        </is>
      </c>
      <c r="B93" s="44" t="inlineStr">
        <is>
          <t>notifications</t>
        </is>
      </c>
      <c r="C93" s="44" t="inlineStr">
        <is>
          <t>low</t>
        </is>
      </c>
      <c r="D93" s="44" t="inlineStr">
        <is>
          <t>mobile</t>
        </is>
      </c>
      <c r="E93" s="45" t="n">
        <v>8.800000000000001</v>
      </c>
      <c r="F93" s="45" t="n">
        <v>10.8</v>
      </c>
    </row>
    <row r="94">
      <c r="A94" s="44" t="inlineStr">
        <is>
          <t>P104</t>
        </is>
      </c>
      <c r="B94" s="44" t="inlineStr">
        <is>
          <t>notifications</t>
        </is>
      </c>
      <c r="C94" s="44" t="inlineStr">
        <is>
          <t>low</t>
        </is>
      </c>
      <c r="D94" s="44" t="inlineStr">
        <is>
          <t>qa</t>
        </is>
      </c>
      <c r="E94" s="45" t="n">
        <v>8.800000000000001</v>
      </c>
      <c r="F94" s="45" t="n">
        <v>11.5</v>
      </c>
    </row>
    <row r="95">
      <c r="A95" s="44" t="inlineStr">
        <is>
          <t>P104</t>
        </is>
      </c>
      <c r="B95" s="44" t="inlineStr">
        <is>
          <t>integration</t>
        </is>
      </c>
      <c r="C95" s="44" t="inlineStr">
        <is>
          <t>medium</t>
        </is>
      </c>
      <c r="D95" s="44" t="inlineStr">
        <is>
          <t>ba</t>
        </is>
      </c>
      <c r="E95" s="45" t="n">
        <v>11.4</v>
      </c>
      <c r="F95" s="45" t="n">
        <v>15.9</v>
      </c>
    </row>
    <row r="96">
      <c r="A96" s="44" t="inlineStr">
        <is>
          <t>P104</t>
        </is>
      </c>
      <c r="B96" s="44" t="inlineStr">
        <is>
          <t>integration</t>
        </is>
      </c>
      <c r="C96" s="44" t="inlineStr">
        <is>
          <t>medium</t>
        </is>
      </c>
      <c r="D96" s="44" t="inlineStr">
        <is>
          <t>be</t>
        </is>
      </c>
      <c r="E96" s="45" t="n">
        <v>68.40000000000001</v>
      </c>
      <c r="F96" s="45" t="n">
        <v>83</v>
      </c>
    </row>
    <row r="97">
      <c r="A97" s="44" t="inlineStr">
        <is>
          <t>P104</t>
        </is>
      </c>
      <c r="B97" s="44" t="inlineStr">
        <is>
          <t>integration</t>
        </is>
      </c>
      <c r="C97" s="44" t="inlineStr">
        <is>
          <t>medium</t>
        </is>
      </c>
      <c r="D97" s="44" t="inlineStr">
        <is>
          <t>qa</t>
        </is>
      </c>
      <c r="E97" s="45" t="n">
        <v>22.8</v>
      </c>
      <c r="F97" s="45" t="n">
        <v>28.7</v>
      </c>
    </row>
    <row r="98">
      <c r="A98" s="44" t="inlineStr">
        <is>
          <t>P104</t>
        </is>
      </c>
      <c r="B98" s="44" t="inlineStr">
        <is>
          <t>management</t>
        </is>
      </c>
      <c r="C98" s="44" t="inlineStr">
        <is>
          <t>medium</t>
        </is>
      </c>
      <c r="D98" s="44" t="inlineStr">
        <is>
          <t>pm</t>
        </is>
      </c>
      <c r="E98" s="45" t="n">
        <v>96.5</v>
      </c>
      <c r="F98" s="45" t="n">
        <v>112.6</v>
      </c>
    </row>
    <row r="99">
      <c r="A99" s="44" t="inlineStr">
        <is>
          <t>P104</t>
        </is>
      </c>
      <c r="B99" s="44" t="inlineStr">
        <is>
          <t>management</t>
        </is>
      </c>
      <c r="C99" s="44" t="inlineStr">
        <is>
          <t>medium</t>
        </is>
      </c>
      <c r="D99" s="44" t="inlineStr">
        <is>
          <t>lead</t>
        </is>
      </c>
      <c r="E99" s="45" t="n">
        <v>57.9</v>
      </c>
      <c r="F99" s="45" t="n">
        <v>60.5</v>
      </c>
    </row>
    <row r="100">
      <c r="A100" s="44" t="inlineStr">
        <is>
          <t>P105</t>
        </is>
      </c>
      <c r="B100" s="44" t="inlineStr">
        <is>
          <t>mobile_app</t>
        </is>
      </c>
      <c r="C100" s="44" t="inlineStr">
        <is>
          <t>high</t>
        </is>
      </c>
      <c r="D100" s="44" t="inlineStr">
        <is>
          <t>uiux</t>
        </is>
      </c>
      <c r="E100" s="45" t="n">
        <v>82.2</v>
      </c>
      <c r="F100" s="45" t="n">
        <v>108.5</v>
      </c>
    </row>
    <row r="101">
      <c r="A101" s="44" t="inlineStr">
        <is>
          <t>P105</t>
        </is>
      </c>
      <c r="B101" s="44" t="inlineStr">
        <is>
          <t>mobile_app</t>
        </is>
      </c>
      <c r="C101" s="44" t="inlineStr">
        <is>
          <t>high</t>
        </is>
      </c>
      <c r="D101" s="44" t="inlineStr">
        <is>
          <t>mobile</t>
        </is>
      </c>
      <c r="E101" s="45" t="n">
        <v>438.4</v>
      </c>
      <c r="F101" s="45" t="n">
        <v>562.8</v>
      </c>
    </row>
    <row r="102">
      <c r="A102" s="44" t="inlineStr">
        <is>
          <t>P105</t>
        </is>
      </c>
      <c r="B102" s="44" t="inlineStr">
        <is>
          <t>mobile_app</t>
        </is>
      </c>
      <c r="C102" s="44" t="inlineStr">
        <is>
          <t>high</t>
        </is>
      </c>
      <c r="D102" s="44" t="inlineStr">
        <is>
          <t>be</t>
        </is>
      </c>
      <c r="E102" s="45" t="n">
        <v>54.8</v>
      </c>
      <c r="F102" s="45" t="n">
        <v>72.7</v>
      </c>
    </row>
    <row r="103">
      <c r="A103" s="44" t="inlineStr">
        <is>
          <t>P105</t>
        </is>
      </c>
      <c r="B103" s="44" t="inlineStr">
        <is>
          <t>mobile_app</t>
        </is>
      </c>
      <c r="C103" s="44" t="inlineStr">
        <is>
          <t>high</t>
        </is>
      </c>
      <c r="D103" s="44" t="inlineStr">
        <is>
          <t>qa</t>
        </is>
      </c>
      <c r="E103" s="45" t="n">
        <v>164.4</v>
      </c>
      <c r="F103" s="45" t="n">
        <v>183.7</v>
      </c>
    </row>
    <row r="104">
      <c r="A104" s="44" t="inlineStr">
        <is>
          <t>P105</t>
        </is>
      </c>
      <c r="B104" s="44" t="inlineStr">
        <is>
          <t>payments</t>
        </is>
      </c>
      <c r="C104" s="44" t="inlineStr">
        <is>
          <t>high</t>
        </is>
      </c>
      <c r="D104" s="44" t="inlineStr">
        <is>
          <t>ba</t>
        </is>
      </c>
      <c r="E104" s="45" t="n">
        <v>23.1</v>
      </c>
      <c r="F104" s="45" t="n">
        <v>27.4</v>
      </c>
    </row>
    <row r="105">
      <c r="A105" s="44" t="inlineStr">
        <is>
          <t>P105</t>
        </is>
      </c>
      <c r="B105" s="44" t="inlineStr">
        <is>
          <t>payments</t>
        </is>
      </c>
      <c r="C105" s="44" t="inlineStr">
        <is>
          <t>high</t>
        </is>
      </c>
      <c r="D105" s="44" t="inlineStr">
        <is>
          <t>fe</t>
        </is>
      </c>
      <c r="E105" s="45" t="n">
        <v>46.2</v>
      </c>
      <c r="F105" s="45" t="n">
        <v>53.8</v>
      </c>
    </row>
    <row r="106">
      <c r="A106" s="44" t="inlineStr">
        <is>
          <t>P105</t>
        </is>
      </c>
      <c r="B106" s="44" t="inlineStr">
        <is>
          <t>payments</t>
        </is>
      </c>
      <c r="C106" s="44" t="inlineStr">
        <is>
          <t>high</t>
        </is>
      </c>
      <c r="D106" s="44" t="inlineStr">
        <is>
          <t>be</t>
        </is>
      </c>
      <c r="E106" s="45" t="n">
        <v>138.5</v>
      </c>
      <c r="F106" s="45" t="n">
        <v>149.1</v>
      </c>
    </row>
    <row r="107">
      <c r="A107" s="44" t="inlineStr">
        <is>
          <t>P105</t>
        </is>
      </c>
      <c r="B107" s="44" t="inlineStr">
        <is>
          <t>payments</t>
        </is>
      </c>
      <c r="C107" s="44" t="inlineStr">
        <is>
          <t>high</t>
        </is>
      </c>
      <c r="D107" s="44" t="inlineStr">
        <is>
          <t>qa</t>
        </is>
      </c>
      <c r="E107" s="45" t="n">
        <v>69.3</v>
      </c>
      <c r="F107" s="45" t="n">
        <v>88.3</v>
      </c>
    </row>
    <row r="108">
      <c r="A108" s="44" t="inlineStr">
        <is>
          <t>P105</t>
        </is>
      </c>
      <c r="B108" s="44" t="inlineStr">
        <is>
          <t>auth</t>
        </is>
      </c>
      <c r="C108" s="44" t="inlineStr">
        <is>
          <t>high</t>
        </is>
      </c>
      <c r="D108" s="44" t="inlineStr">
        <is>
          <t>ba</t>
        </is>
      </c>
      <c r="E108" s="45" t="n">
        <v>14.2</v>
      </c>
      <c r="F108" s="45" t="n">
        <v>16.3</v>
      </c>
    </row>
    <row r="109">
      <c r="A109" s="44" t="inlineStr">
        <is>
          <t>P105</t>
        </is>
      </c>
      <c r="B109" s="44" t="inlineStr">
        <is>
          <t>auth</t>
        </is>
      </c>
      <c r="C109" s="44" t="inlineStr">
        <is>
          <t>high</t>
        </is>
      </c>
      <c r="D109" s="44" t="inlineStr">
        <is>
          <t>uiux</t>
        </is>
      </c>
      <c r="E109" s="45" t="n">
        <v>21.2</v>
      </c>
      <c r="F109" s="45" t="n">
        <v>25.4</v>
      </c>
    </row>
    <row r="110">
      <c r="A110" s="44" t="inlineStr">
        <is>
          <t>P105</t>
        </is>
      </c>
      <c r="B110" s="44" t="inlineStr">
        <is>
          <t>auth</t>
        </is>
      </c>
      <c r="C110" s="44" t="inlineStr">
        <is>
          <t>high</t>
        </is>
      </c>
      <c r="D110" s="44" t="inlineStr">
        <is>
          <t>fe</t>
        </is>
      </c>
      <c r="E110" s="45" t="n">
        <v>70.8</v>
      </c>
      <c r="F110" s="45" t="n">
        <v>86.8</v>
      </c>
    </row>
    <row r="111">
      <c r="A111" s="44" t="inlineStr">
        <is>
          <t>P105</t>
        </is>
      </c>
      <c r="B111" s="44" t="inlineStr">
        <is>
          <t>auth</t>
        </is>
      </c>
      <c r="C111" s="44" t="inlineStr">
        <is>
          <t>high</t>
        </is>
      </c>
      <c r="D111" s="44" t="inlineStr">
        <is>
          <t>be</t>
        </is>
      </c>
      <c r="E111" s="45" t="n">
        <v>99.09999999999999</v>
      </c>
      <c r="F111" s="45" t="n">
        <v>122.7</v>
      </c>
    </row>
    <row r="112">
      <c r="A112" s="44" t="inlineStr">
        <is>
          <t>P105</t>
        </is>
      </c>
      <c r="B112" s="44" t="inlineStr">
        <is>
          <t>auth</t>
        </is>
      </c>
      <c r="C112" s="44" t="inlineStr">
        <is>
          <t>high</t>
        </is>
      </c>
      <c r="D112" s="44" t="inlineStr">
        <is>
          <t>qa</t>
        </is>
      </c>
      <c r="E112" s="45" t="n">
        <v>42.5</v>
      </c>
      <c r="F112" s="45" t="n">
        <v>54.7</v>
      </c>
    </row>
    <row r="113">
      <c r="A113" s="44" t="inlineStr">
        <is>
          <t>P105</t>
        </is>
      </c>
      <c r="B113" s="44" t="inlineStr">
        <is>
          <t>notifications</t>
        </is>
      </c>
      <c r="C113" s="44" t="inlineStr">
        <is>
          <t>medium</t>
        </is>
      </c>
      <c r="D113" s="44" t="inlineStr">
        <is>
          <t>be</t>
        </is>
      </c>
      <c r="E113" s="45" t="n">
        <v>38.6</v>
      </c>
      <c r="F113" s="45" t="n">
        <v>47.1</v>
      </c>
    </row>
    <row r="114">
      <c r="A114" s="44" t="inlineStr">
        <is>
          <t>P105</t>
        </is>
      </c>
      <c r="B114" s="44" t="inlineStr">
        <is>
          <t>notifications</t>
        </is>
      </c>
      <c r="C114" s="44" t="inlineStr">
        <is>
          <t>medium</t>
        </is>
      </c>
      <c r="D114" s="44" t="inlineStr">
        <is>
          <t>mobile</t>
        </is>
      </c>
      <c r="E114" s="45" t="n">
        <v>15.4</v>
      </c>
      <c r="F114" s="45" t="n">
        <v>18.5</v>
      </c>
    </row>
    <row r="115">
      <c r="A115" s="44" t="inlineStr">
        <is>
          <t>P105</t>
        </is>
      </c>
      <c r="B115" s="44" t="inlineStr">
        <is>
          <t>notifications</t>
        </is>
      </c>
      <c r="C115" s="44" t="inlineStr">
        <is>
          <t>medium</t>
        </is>
      </c>
      <c r="D115" s="44" t="inlineStr">
        <is>
          <t>qa</t>
        </is>
      </c>
      <c r="E115" s="45" t="n">
        <v>15.4</v>
      </c>
      <c r="F115" s="45" t="n">
        <v>17</v>
      </c>
    </row>
    <row r="116">
      <c r="A116" s="44" t="inlineStr">
        <is>
          <t>P105</t>
        </is>
      </c>
      <c r="B116" s="44" t="inlineStr">
        <is>
          <t>compliance</t>
        </is>
      </c>
      <c r="C116" s="44" t="inlineStr">
        <is>
          <t>high</t>
        </is>
      </c>
      <c r="D116" s="44" t="inlineStr">
        <is>
          <t>ba</t>
        </is>
      </c>
      <c r="E116" s="45" t="n">
        <v>25.2</v>
      </c>
      <c r="F116" s="45" t="n">
        <v>30.5</v>
      </c>
    </row>
    <row r="117">
      <c r="A117" s="44" t="inlineStr">
        <is>
          <t>P105</t>
        </is>
      </c>
      <c r="B117" s="44" t="inlineStr">
        <is>
          <t>compliance</t>
        </is>
      </c>
      <c r="C117" s="44" t="inlineStr">
        <is>
          <t>high</t>
        </is>
      </c>
      <c r="D117" s="44" t="inlineStr">
        <is>
          <t>be</t>
        </is>
      </c>
      <c r="E117" s="45" t="n">
        <v>100.8</v>
      </c>
      <c r="F117" s="45" t="n">
        <v>121.6</v>
      </c>
    </row>
    <row r="118">
      <c r="A118" s="44" t="inlineStr">
        <is>
          <t>P105</t>
        </is>
      </c>
      <c r="B118" s="44" t="inlineStr">
        <is>
          <t>compliance</t>
        </is>
      </c>
      <c r="C118" s="44" t="inlineStr">
        <is>
          <t>high</t>
        </is>
      </c>
      <c r="D118" s="44" t="inlineStr">
        <is>
          <t>devops</t>
        </is>
      </c>
      <c r="E118" s="45" t="n">
        <v>37.8</v>
      </c>
      <c r="F118" s="45" t="n">
        <v>46</v>
      </c>
    </row>
    <row r="119">
      <c r="A119" s="44" t="inlineStr">
        <is>
          <t>P105</t>
        </is>
      </c>
      <c r="B119" s="44" t="inlineStr">
        <is>
          <t>compliance</t>
        </is>
      </c>
      <c r="C119" s="44" t="inlineStr">
        <is>
          <t>high</t>
        </is>
      </c>
      <c r="D119" s="44" t="inlineStr">
        <is>
          <t>qa</t>
        </is>
      </c>
      <c r="E119" s="45" t="n">
        <v>37.8</v>
      </c>
      <c r="F119" s="45" t="n">
        <v>47.2</v>
      </c>
    </row>
    <row r="120">
      <c r="A120" s="44" t="inlineStr">
        <is>
          <t>P105</t>
        </is>
      </c>
      <c r="B120" s="44" t="inlineStr">
        <is>
          <t>admin_panel</t>
        </is>
      </c>
      <c r="C120" s="44" t="inlineStr">
        <is>
          <t>medium</t>
        </is>
      </c>
      <c r="D120" s="44" t="inlineStr">
        <is>
          <t>ba</t>
        </is>
      </c>
      <c r="E120" s="45" t="n">
        <v>16.2</v>
      </c>
      <c r="F120" s="45" t="n">
        <v>22.2</v>
      </c>
    </row>
    <row r="121">
      <c r="A121" s="44" t="inlineStr">
        <is>
          <t>P105</t>
        </is>
      </c>
      <c r="B121" s="44" t="inlineStr">
        <is>
          <t>admin_panel</t>
        </is>
      </c>
      <c r="C121" s="44" t="inlineStr">
        <is>
          <t>medium</t>
        </is>
      </c>
      <c r="D121" s="44" t="inlineStr">
        <is>
          <t>uiux</t>
        </is>
      </c>
      <c r="E121" s="45" t="n">
        <v>24.4</v>
      </c>
      <c r="F121" s="45" t="n">
        <v>29.9</v>
      </c>
    </row>
    <row r="122">
      <c r="A122" s="44" t="inlineStr">
        <is>
          <t>P105</t>
        </is>
      </c>
      <c r="B122" s="44" t="inlineStr">
        <is>
          <t>admin_panel</t>
        </is>
      </c>
      <c r="C122" s="44" t="inlineStr">
        <is>
          <t>medium</t>
        </is>
      </c>
      <c r="D122" s="44" t="inlineStr">
        <is>
          <t>fe</t>
        </is>
      </c>
      <c r="E122" s="45" t="n">
        <v>81.2</v>
      </c>
      <c r="F122" s="45" t="n">
        <v>98.8</v>
      </c>
    </row>
    <row r="123">
      <c r="A123" s="44" t="inlineStr">
        <is>
          <t>P105</t>
        </is>
      </c>
      <c r="B123" s="44" t="inlineStr">
        <is>
          <t>admin_panel</t>
        </is>
      </c>
      <c r="C123" s="44" t="inlineStr">
        <is>
          <t>medium</t>
        </is>
      </c>
      <c r="D123" s="44" t="inlineStr">
        <is>
          <t>be</t>
        </is>
      </c>
      <c r="E123" s="45" t="n">
        <v>73.09999999999999</v>
      </c>
      <c r="F123" s="45" t="n">
        <v>84.7</v>
      </c>
    </row>
    <row r="124">
      <c r="A124" s="44" t="inlineStr">
        <is>
          <t>P105</t>
        </is>
      </c>
      <c r="B124" s="44" t="inlineStr">
        <is>
          <t>admin_panel</t>
        </is>
      </c>
      <c r="C124" s="44" t="inlineStr">
        <is>
          <t>medium</t>
        </is>
      </c>
      <c r="D124" s="44" t="inlineStr">
        <is>
          <t>qa</t>
        </is>
      </c>
      <c r="E124" s="45" t="n">
        <v>40.6</v>
      </c>
      <c r="F124" s="45" t="n">
        <v>49.4</v>
      </c>
    </row>
    <row r="125">
      <c r="A125" s="44" t="inlineStr">
        <is>
          <t>P105</t>
        </is>
      </c>
      <c r="B125" s="44" t="inlineStr">
        <is>
          <t>management</t>
        </is>
      </c>
      <c r="C125" s="44" t="inlineStr">
        <is>
          <t>medium</t>
        </is>
      </c>
      <c r="D125" s="44" t="inlineStr">
        <is>
          <t>pm</t>
        </is>
      </c>
      <c r="E125" s="45" t="n">
        <v>177.1</v>
      </c>
      <c r="F125" s="45" t="n">
        <v>195.6</v>
      </c>
    </row>
    <row r="126">
      <c r="A126" s="44" t="inlineStr">
        <is>
          <t>P105</t>
        </is>
      </c>
      <c r="B126" s="44" t="inlineStr">
        <is>
          <t>management</t>
        </is>
      </c>
      <c r="C126" s="44" t="inlineStr">
        <is>
          <t>medium</t>
        </is>
      </c>
      <c r="D126" s="44" t="inlineStr">
        <is>
          <t>lead</t>
        </is>
      </c>
      <c r="E126" s="45" t="n">
        <v>106.3</v>
      </c>
      <c r="F126" s="45" t="n">
        <v>114.6</v>
      </c>
    </row>
    <row r="127">
      <c r="A127" s="44" t="inlineStr">
        <is>
          <t>P106</t>
        </is>
      </c>
      <c r="B127" s="44" t="inlineStr">
        <is>
          <t>web_portal</t>
        </is>
      </c>
      <c r="C127" s="44" t="inlineStr">
        <is>
          <t>medium</t>
        </is>
      </c>
      <c r="D127" s="44" t="inlineStr">
        <is>
          <t>ba</t>
        </is>
      </c>
      <c r="E127" s="45" t="n">
        <v>15.7</v>
      </c>
      <c r="F127" s="45" t="n">
        <v>19.1</v>
      </c>
    </row>
    <row r="128">
      <c r="A128" s="44" t="inlineStr">
        <is>
          <t>P106</t>
        </is>
      </c>
      <c r="B128" s="44" t="inlineStr">
        <is>
          <t>web_portal</t>
        </is>
      </c>
      <c r="C128" s="44" t="inlineStr">
        <is>
          <t>medium</t>
        </is>
      </c>
      <c r="D128" s="44" t="inlineStr">
        <is>
          <t>uiux</t>
        </is>
      </c>
      <c r="E128" s="45" t="n">
        <v>58.9</v>
      </c>
      <c r="F128" s="45" t="n">
        <v>62.1</v>
      </c>
    </row>
    <row r="129">
      <c r="A129" s="44" t="inlineStr">
        <is>
          <t>P106</t>
        </is>
      </c>
      <c r="B129" s="44" t="inlineStr">
        <is>
          <t>web_portal</t>
        </is>
      </c>
      <c r="C129" s="44" t="inlineStr">
        <is>
          <t>medium</t>
        </is>
      </c>
      <c r="D129" s="44" t="inlineStr">
        <is>
          <t>fe</t>
        </is>
      </c>
      <c r="E129" s="45" t="n">
        <v>157</v>
      </c>
      <c r="F129" s="45" t="n">
        <v>185.3</v>
      </c>
    </row>
    <row r="130">
      <c r="A130" s="44" t="inlineStr">
        <is>
          <t>P106</t>
        </is>
      </c>
      <c r="B130" s="44" t="inlineStr">
        <is>
          <t>web_portal</t>
        </is>
      </c>
      <c r="C130" s="44" t="inlineStr">
        <is>
          <t>medium</t>
        </is>
      </c>
      <c r="D130" s="44" t="inlineStr">
        <is>
          <t>qa</t>
        </is>
      </c>
      <c r="E130" s="45" t="n">
        <v>39.3</v>
      </c>
      <c r="F130" s="45" t="n">
        <v>38.2</v>
      </c>
    </row>
    <row r="131">
      <c r="A131" s="44" t="inlineStr">
        <is>
          <t>P106</t>
        </is>
      </c>
      <c r="B131" s="44" t="inlineStr">
        <is>
          <t>bpm</t>
        </is>
      </c>
      <c r="C131" s="44" t="inlineStr">
        <is>
          <t>medium</t>
        </is>
      </c>
      <c r="D131" s="44" t="inlineStr">
        <is>
          <t>ba</t>
        </is>
      </c>
      <c r="E131" s="45" t="n">
        <v>31.4</v>
      </c>
      <c r="F131" s="45" t="n">
        <v>36.3</v>
      </c>
    </row>
    <row r="132">
      <c r="A132" s="44" t="inlineStr">
        <is>
          <t>P106</t>
        </is>
      </c>
      <c r="B132" s="44" t="inlineStr">
        <is>
          <t>bpm</t>
        </is>
      </c>
      <c r="C132" s="44" t="inlineStr">
        <is>
          <t>medium</t>
        </is>
      </c>
      <c r="D132" s="44" t="inlineStr">
        <is>
          <t>fe</t>
        </is>
      </c>
      <c r="E132" s="45" t="n">
        <v>55</v>
      </c>
      <c r="F132" s="45" t="n">
        <v>57.7</v>
      </c>
    </row>
    <row r="133">
      <c r="A133" s="44" t="inlineStr">
        <is>
          <t>P106</t>
        </is>
      </c>
      <c r="B133" s="44" t="inlineStr">
        <is>
          <t>bpm</t>
        </is>
      </c>
      <c r="C133" s="44" t="inlineStr">
        <is>
          <t>medium</t>
        </is>
      </c>
      <c r="D133" s="44" t="inlineStr">
        <is>
          <t>be</t>
        </is>
      </c>
      <c r="E133" s="45" t="n">
        <v>102.1</v>
      </c>
      <c r="F133" s="45" t="n">
        <v>97.2</v>
      </c>
    </row>
    <row r="134">
      <c r="A134" s="44" t="inlineStr">
        <is>
          <t>P106</t>
        </is>
      </c>
      <c r="B134" s="44" t="inlineStr">
        <is>
          <t>bpm</t>
        </is>
      </c>
      <c r="C134" s="44" t="inlineStr">
        <is>
          <t>medium</t>
        </is>
      </c>
      <c r="D134" s="44" t="inlineStr">
        <is>
          <t>qa</t>
        </is>
      </c>
      <c r="E134" s="45" t="n">
        <v>39.3</v>
      </c>
      <c r="F134" s="45" t="n">
        <v>41.3</v>
      </c>
    </row>
    <row r="135">
      <c r="A135" s="44" t="inlineStr">
        <is>
          <t>P106</t>
        </is>
      </c>
      <c r="B135" s="44" t="inlineStr">
        <is>
          <t>integration</t>
        </is>
      </c>
      <c r="C135" s="44" t="inlineStr">
        <is>
          <t>high</t>
        </is>
      </c>
      <c r="D135" s="44" t="inlineStr">
        <is>
          <t>ba</t>
        </is>
      </c>
      <c r="E135" s="45" t="n">
        <v>18.9</v>
      </c>
      <c r="F135" s="45" t="n">
        <v>23.5</v>
      </c>
    </row>
    <row r="136">
      <c r="A136" s="44" t="inlineStr">
        <is>
          <t>P106</t>
        </is>
      </c>
      <c r="B136" s="44" t="inlineStr">
        <is>
          <t>integration</t>
        </is>
      </c>
      <c r="C136" s="44" t="inlineStr">
        <is>
          <t>high</t>
        </is>
      </c>
      <c r="D136" s="44" t="inlineStr">
        <is>
          <t>be</t>
        </is>
      </c>
      <c r="E136" s="45" t="n">
        <v>113.3</v>
      </c>
      <c r="F136" s="45" t="n">
        <v>135.6</v>
      </c>
    </row>
    <row r="137">
      <c r="A137" s="44" t="inlineStr">
        <is>
          <t>P106</t>
        </is>
      </c>
      <c r="B137" s="44" t="inlineStr">
        <is>
          <t>integration</t>
        </is>
      </c>
      <c r="C137" s="44" t="inlineStr">
        <is>
          <t>high</t>
        </is>
      </c>
      <c r="D137" s="44" t="inlineStr">
        <is>
          <t>qa</t>
        </is>
      </c>
      <c r="E137" s="45" t="n">
        <v>37.8</v>
      </c>
      <c r="F137" s="45" t="n">
        <v>48.3</v>
      </c>
    </row>
    <row r="138">
      <c r="A138" s="44" t="inlineStr">
        <is>
          <t>P106</t>
        </is>
      </c>
      <c r="B138" s="44" t="inlineStr">
        <is>
          <t>auth</t>
        </is>
      </c>
      <c r="C138" s="44" t="inlineStr">
        <is>
          <t>medium</t>
        </is>
      </c>
      <c r="D138" s="44" t="inlineStr">
        <is>
          <t>ba</t>
        </is>
      </c>
      <c r="E138" s="45" t="n">
        <v>8.6</v>
      </c>
      <c r="F138" s="45" t="n">
        <v>9.4</v>
      </c>
    </row>
    <row r="139">
      <c r="A139" s="44" t="inlineStr">
        <is>
          <t>P106</t>
        </is>
      </c>
      <c r="B139" s="44" t="inlineStr">
        <is>
          <t>auth</t>
        </is>
      </c>
      <c r="C139" s="44" t="inlineStr">
        <is>
          <t>medium</t>
        </is>
      </c>
      <c r="D139" s="44" t="inlineStr">
        <is>
          <t>uiux</t>
        </is>
      </c>
      <c r="E139" s="45" t="n">
        <v>12.9</v>
      </c>
      <c r="F139" s="45" t="n">
        <v>14.4</v>
      </c>
    </row>
    <row r="140">
      <c r="A140" s="44" t="inlineStr">
        <is>
          <t>P106</t>
        </is>
      </c>
      <c r="B140" s="44" t="inlineStr">
        <is>
          <t>auth</t>
        </is>
      </c>
      <c r="C140" s="44" t="inlineStr">
        <is>
          <t>medium</t>
        </is>
      </c>
      <c r="D140" s="44" t="inlineStr">
        <is>
          <t>fe</t>
        </is>
      </c>
      <c r="E140" s="45" t="n">
        <v>43</v>
      </c>
      <c r="F140" s="45" t="n">
        <v>54</v>
      </c>
    </row>
    <row r="141">
      <c r="A141" s="44" t="inlineStr">
        <is>
          <t>P106</t>
        </is>
      </c>
      <c r="B141" s="44" t="inlineStr">
        <is>
          <t>auth</t>
        </is>
      </c>
      <c r="C141" s="44" t="inlineStr">
        <is>
          <t>medium</t>
        </is>
      </c>
      <c r="D141" s="44" t="inlineStr">
        <is>
          <t>be</t>
        </is>
      </c>
      <c r="E141" s="45" t="n">
        <v>60.2</v>
      </c>
      <c r="F141" s="45" t="n">
        <v>65.59999999999999</v>
      </c>
    </row>
    <row r="142">
      <c r="A142" s="44" t="inlineStr">
        <is>
          <t>P106</t>
        </is>
      </c>
      <c r="B142" s="44" t="inlineStr">
        <is>
          <t>auth</t>
        </is>
      </c>
      <c r="C142" s="44" t="inlineStr">
        <is>
          <t>medium</t>
        </is>
      </c>
      <c r="D142" s="44" t="inlineStr">
        <is>
          <t>qa</t>
        </is>
      </c>
      <c r="E142" s="45" t="n">
        <v>25.8</v>
      </c>
      <c r="F142" s="45" t="n">
        <v>30.9</v>
      </c>
    </row>
    <row r="143">
      <c r="A143" s="44" t="inlineStr">
        <is>
          <t>P106</t>
        </is>
      </c>
      <c r="B143" s="44" t="inlineStr">
        <is>
          <t>management</t>
        </is>
      </c>
      <c r="C143" s="44" t="inlineStr">
        <is>
          <t>medium</t>
        </is>
      </c>
      <c r="D143" s="44" t="inlineStr">
        <is>
          <t>pm</t>
        </is>
      </c>
      <c r="E143" s="45" t="n">
        <v>81.90000000000001</v>
      </c>
      <c r="F143" s="45" t="n">
        <v>91.40000000000001</v>
      </c>
    </row>
    <row r="144">
      <c r="A144" s="44" t="inlineStr">
        <is>
          <t>P106</t>
        </is>
      </c>
      <c r="B144" s="44" t="inlineStr">
        <is>
          <t>management</t>
        </is>
      </c>
      <c r="C144" s="44" t="inlineStr">
        <is>
          <t>medium</t>
        </is>
      </c>
      <c r="D144" s="44" t="inlineStr">
        <is>
          <t>lead</t>
        </is>
      </c>
      <c r="E144" s="45" t="n">
        <v>49.2</v>
      </c>
      <c r="F144" s="45" t="n">
        <v>50.4</v>
      </c>
    </row>
    <row r="145">
      <c r="A145" s="44" t="inlineStr">
        <is>
          <t>P107</t>
        </is>
      </c>
      <c r="B145" s="44" t="inlineStr">
        <is>
          <t>iot</t>
        </is>
      </c>
      <c r="C145" s="44" t="inlineStr">
        <is>
          <t>high</t>
        </is>
      </c>
      <c r="D145" s="44" t="inlineStr">
        <is>
          <t>be</t>
        </is>
      </c>
      <c r="E145" s="45" t="n">
        <v>137.3</v>
      </c>
      <c r="F145" s="45" t="n">
        <v>170.2</v>
      </c>
    </row>
    <row r="146">
      <c r="A146" s="44" t="inlineStr">
        <is>
          <t>P107</t>
        </is>
      </c>
      <c r="B146" s="44" t="inlineStr">
        <is>
          <t>iot</t>
        </is>
      </c>
      <c r="C146" s="44" t="inlineStr">
        <is>
          <t>high</t>
        </is>
      </c>
      <c r="D146" s="44" t="inlineStr">
        <is>
          <t>data</t>
        </is>
      </c>
      <c r="E146" s="45" t="n">
        <v>57.2</v>
      </c>
      <c r="F146" s="45" t="n">
        <v>61.6</v>
      </c>
    </row>
    <row r="147">
      <c r="A147" s="44" t="inlineStr">
        <is>
          <t>P107</t>
        </is>
      </c>
      <c r="B147" s="44" t="inlineStr">
        <is>
          <t>iot</t>
        </is>
      </c>
      <c r="C147" s="44" t="inlineStr">
        <is>
          <t>high</t>
        </is>
      </c>
      <c r="D147" s="44" t="inlineStr">
        <is>
          <t>devops</t>
        </is>
      </c>
      <c r="E147" s="45" t="n">
        <v>57.2</v>
      </c>
      <c r="F147" s="45" t="n">
        <v>61.7</v>
      </c>
    </row>
    <row r="148">
      <c r="A148" s="44" t="inlineStr">
        <is>
          <t>P107</t>
        </is>
      </c>
      <c r="B148" s="44" t="inlineStr">
        <is>
          <t>iot</t>
        </is>
      </c>
      <c r="C148" s="44" t="inlineStr">
        <is>
          <t>high</t>
        </is>
      </c>
      <c r="D148" s="44" t="inlineStr">
        <is>
          <t>qa</t>
        </is>
      </c>
      <c r="E148" s="45" t="n">
        <v>45.8</v>
      </c>
      <c r="F148" s="45" t="n">
        <v>50.5</v>
      </c>
    </row>
    <row r="149">
      <c r="A149" s="44" t="inlineStr">
        <is>
          <t>P107</t>
        </is>
      </c>
      <c r="B149" s="44" t="inlineStr">
        <is>
          <t>reporting</t>
        </is>
      </c>
      <c r="C149" s="44" t="inlineStr">
        <is>
          <t>medium</t>
        </is>
      </c>
      <c r="D149" s="44" t="inlineStr">
        <is>
          <t>uiux</t>
        </is>
      </c>
      <c r="E149" s="45" t="n">
        <v>17.1</v>
      </c>
      <c r="F149" s="45" t="n">
        <v>21.5</v>
      </c>
    </row>
    <row r="150">
      <c r="A150" s="44" t="inlineStr">
        <is>
          <t>P107</t>
        </is>
      </c>
      <c r="B150" s="44" t="inlineStr">
        <is>
          <t>reporting</t>
        </is>
      </c>
      <c r="C150" s="44" t="inlineStr">
        <is>
          <t>medium</t>
        </is>
      </c>
      <c r="D150" s="44" t="inlineStr">
        <is>
          <t>fe</t>
        </is>
      </c>
      <c r="E150" s="45" t="n">
        <v>60</v>
      </c>
      <c r="F150" s="45" t="n">
        <v>63.1</v>
      </c>
    </row>
    <row r="151">
      <c r="A151" s="44" t="inlineStr">
        <is>
          <t>P107</t>
        </is>
      </c>
      <c r="B151" s="44" t="inlineStr">
        <is>
          <t>reporting</t>
        </is>
      </c>
      <c r="C151" s="44" t="inlineStr">
        <is>
          <t>medium</t>
        </is>
      </c>
      <c r="D151" s="44" t="inlineStr">
        <is>
          <t>be</t>
        </is>
      </c>
      <c r="E151" s="45" t="n">
        <v>42.8</v>
      </c>
      <c r="F151" s="45" t="n">
        <v>49.5</v>
      </c>
    </row>
    <row r="152">
      <c r="A152" s="44" t="inlineStr">
        <is>
          <t>P107</t>
        </is>
      </c>
      <c r="B152" s="44" t="inlineStr">
        <is>
          <t>reporting</t>
        </is>
      </c>
      <c r="C152" s="44" t="inlineStr">
        <is>
          <t>medium</t>
        </is>
      </c>
      <c r="D152" s="44" t="inlineStr">
        <is>
          <t>data</t>
        </is>
      </c>
      <c r="E152" s="45" t="n">
        <v>42.8</v>
      </c>
      <c r="F152" s="45" t="n">
        <v>50.1</v>
      </c>
    </row>
    <row r="153">
      <c r="A153" s="44" t="inlineStr">
        <is>
          <t>P107</t>
        </is>
      </c>
      <c r="B153" s="44" t="inlineStr">
        <is>
          <t>reporting</t>
        </is>
      </c>
      <c r="C153" s="44" t="inlineStr">
        <is>
          <t>medium</t>
        </is>
      </c>
      <c r="D153" s="44" t="inlineStr">
        <is>
          <t>qa</t>
        </is>
      </c>
      <c r="E153" s="45" t="n">
        <v>25.7</v>
      </c>
      <c r="F153" s="45" t="n">
        <v>31.5</v>
      </c>
    </row>
    <row r="154">
      <c r="A154" s="44" t="inlineStr">
        <is>
          <t>P107</t>
        </is>
      </c>
      <c r="B154" s="44" t="inlineStr">
        <is>
          <t>realtime</t>
        </is>
      </c>
      <c r="C154" s="44" t="inlineStr">
        <is>
          <t>medium</t>
        </is>
      </c>
      <c r="D154" s="44" t="inlineStr">
        <is>
          <t>fe</t>
        </is>
      </c>
      <c r="E154" s="45" t="n">
        <v>39.3</v>
      </c>
      <c r="F154" s="45" t="n">
        <v>44.2</v>
      </c>
    </row>
    <row r="155">
      <c r="A155" s="44" t="inlineStr">
        <is>
          <t>P107</t>
        </is>
      </c>
      <c r="B155" s="44" t="inlineStr">
        <is>
          <t>realtime</t>
        </is>
      </c>
      <c r="C155" s="44" t="inlineStr">
        <is>
          <t>medium</t>
        </is>
      </c>
      <c r="D155" s="44" t="inlineStr">
        <is>
          <t>be</t>
        </is>
      </c>
      <c r="E155" s="45" t="n">
        <v>78.59999999999999</v>
      </c>
      <c r="F155" s="45" t="n">
        <v>84</v>
      </c>
    </row>
    <row r="156">
      <c r="A156" s="44" t="inlineStr">
        <is>
          <t>P107</t>
        </is>
      </c>
      <c r="B156" s="44" t="inlineStr">
        <is>
          <t>realtime</t>
        </is>
      </c>
      <c r="C156" s="44" t="inlineStr">
        <is>
          <t>medium</t>
        </is>
      </c>
      <c r="D156" s="44" t="inlineStr">
        <is>
          <t>devops</t>
        </is>
      </c>
      <c r="E156" s="45" t="n">
        <v>15.7</v>
      </c>
      <c r="F156" s="45" t="n">
        <v>18.4</v>
      </c>
    </row>
    <row r="157">
      <c r="A157" s="44" t="inlineStr">
        <is>
          <t>P107</t>
        </is>
      </c>
      <c r="B157" s="44" t="inlineStr">
        <is>
          <t>realtime</t>
        </is>
      </c>
      <c r="C157" s="44" t="inlineStr">
        <is>
          <t>medium</t>
        </is>
      </c>
      <c r="D157" s="44" t="inlineStr">
        <is>
          <t>qa</t>
        </is>
      </c>
      <c r="E157" s="45" t="n">
        <v>31.4</v>
      </c>
      <c r="F157" s="45" t="n">
        <v>35.8</v>
      </c>
    </row>
    <row r="158">
      <c r="A158" s="44" t="inlineStr">
        <is>
          <t>P107</t>
        </is>
      </c>
      <c r="B158" s="44" t="inlineStr">
        <is>
          <t>auth</t>
        </is>
      </c>
      <c r="C158" s="44" t="inlineStr">
        <is>
          <t>low</t>
        </is>
      </c>
      <c r="D158" s="44" t="inlineStr">
        <is>
          <t>ba</t>
        </is>
      </c>
      <c r="E158" s="45" t="n">
        <v>5.2</v>
      </c>
      <c r="F158" s="45" t="n">
        <v>5.5</v>
      </c>
    </row>
    <row r="159">
      <c r="A159" s="44" t="inlineStr">
        <is>
          <t>P107</t>
        </is>
      </c>
      <c r="B159" s="44" t="inlineStr">
        <is>
          <t>auth</t>
        </is>
      </c>
      <c r="C159" s="44" t="inlineStr">
        <is>
          <t>low</t>
        </is>
      </c>
      <c r="D159" s="44" t="inlineStr">
        <is>
          <t>uiux</t>
        </is>
      </c>
      <c r="E159" s="45" t="n">
        <v>7.8</v>
      </c>
      <c r="F159" s="45" t="n">
        <v>9.300000000000001</v>
      </c>
    </row>
    <row r="160">
      <c r="A160" s="44" t="inlineStr">
        <is>
          <t>P107</t>
        </is>
      </c>
      <c r="B160" s="44" t="inlineStr">
        <is>
          <t>auth</t>
        </is>
      </c>
      <c r="C160" s="44" t="inlineStr">
        <is>
          <t>low</t>
        </is>
      </c>
      <c r="D160" s="44" t="inlineStr">
        <is>
          <t>fe</t>
        </is>
      </c>
      <c r="E160" s="45" t="n">
        <v>25.9</v>
      </c>
      <c r="F160" s="45" t="n">
        <v>29.9</v>
      </c>
    </row>
    <row r="161">
      <c r="A161" s="44" t="inlineStr">
        <is>
          <t>P107</t>
        </is>
      </c>
      <c r="B161" s="44" t="inlineStr">
        <is>
          <t>auth</t>
        </is>
      </c>
      <c r="C161" s="44" t="inlineStr">
        <is>
          <t>low</t>
        </is>
      </c>
      <c r="D161" s="44" t="inlineStr">
        <is>
          <t>be</t>
        </is>
      </c>
      <c r="E161" s="45" t="n">
        <v>36.3</v>
      </c>
      <c r="F161" s="45" t="n">
        <v>36.5</v>
      </c>
    </row>
    <row r="162">
      <c r="A162" s="44" t="inlineStr">
        <is>
          <t>P107</t>
        </is>
      </c>
      <c r="B162" s="44" t="inlineStr">
        <is>
          <t>auth</t>
        </is>
      </c>
      <c r="C162" s="44" t="inlineStr">
        <is>
          <t>low</t>
        </is>
      </c>
      <c r="D162" s="44" t="inlineStr">
        <is>
          <t>qa</t>
        </is>
      </c>
      <c r="E162" s="45" t="n">
        <v>15.5</v>
      </c>
      <c r="F162" s="45" t="n">
        <v>16.3</v>
      </c>
    </row>
    <row r="163">
      <c r="A163" s="44" t="inlineStr">
        <is>
          <t>P107</t>
        </is>
      </c>
      <c r="B163" s="44" t="inlineStr">
        <is>
          <t>cloud_infra</t>
        </is>
      </c>
      <c r="C163" s="44" t="inlineStr">
        <is>
          <t>medium</t>
        </is>
      </c>
      <c r="D163" s="44" t="inlineStr">
        <is>
          <t>be</t>
        </is>
      </c>
      <c r="E163" s="45" t="n">
        <v>16.7</v>
      </c>
      <c r="F163" s="45" t="n">
        <v>19.5</v>
      </c>
    </row>
    <row r="164">
      <c r="A164" s="44" t="inlineStr">
        <is>
          <t>P107</t>
        </is>
      </c>
      <c r="B164" s="44" t="inlineStr">
        <is>
          <t>cloud_infra</t>
        </is>
      </c>
      <c r="C164" s="44" t="inlineStr">
        <is>
          <t>medium</t>
        </is>
      </c>
      <c r="D164" s="44" t="inlineStr">
        <is>
          <t>devops</t>
        </is>
      </c>
      <c r="E164" s="45" t="n">
        <v>83.5</v>
      </c>
      <c r="F164" s="45" t="n">
        <v>100.7</v>
      </c>
    </row>
    <row r="165">
      <c r="A165" s="44" t="inlineStr">
        <is>
          <t>P107</t>
        </is>
      </c>
      <c r="B165" s="44" t="inlineStr">
        <is>
          <t>management</t>
        </is>
      </c>
      <c r="C165" s="44" t="inlineStr">
        <is>
          <t>medium</t>
        </is>
      </c>
      <c r="D165" s="44" t="inlineStr">
        <is>
          <t>pm</t>
        </is>
      </c>
      <c r="E165" s="45" t="n">
        <v>84.2</v>
      </c>
      <c r="F165" s="45" t="n">
        <v>86.59999999999999</v>
      </c>
    </row>
    <row r="166">
      <c r="A166" s="44" t="inlineStr">
        <is>
          <t>P107</t>
        </is>
      </c>
      <c r="B166" s="44" t="inlineStr">
        <is>
          <t>management</t>
        </is>
      </c>
      <c r="C166" s="44" t="inlineStr">
        <is>
          <t>medium</t>
        </is>
      </c>
      <c r="D166" s="44" t="inlineStr">
        <is>
          <t>lead</t>
        </is>
      </c>
      <c r="E166" s="45" t="n">
        <v>50.5</v>
      </c>
      <c r="F166" s="45" t="n">
        <v>54.7</v>
      </c>
    </row>
    <row r="167">
      <c r="A167" s="44" t="inlineStr">
        <is>
          <t>P108</t>
        </is>
      </c>
      <c r="B167" s="44" t="inlineStr">
        <is>
          <t>ecommerce</t>
        </is>
      </c>
      <c r="C167" s="44" t="inlineStr">
        <is>
          <t>medium</t>
        </is>
      </c>
      <c r="D167" s="44" t="inlineStr">
        <is>
          <t>uiux</t>
        </is>
      </c>
      <c r="E167" s="45" t="n">
        <v>31.2</v>
      </c>
      <c r="F167" s="45" t="n">
        <v>38.7</v>
      </c>
    </row>
    <row r="168">
      <c r="A168" s="44" t="inlineStr">
        <is>
          <t>P108</t>
        </is>
      </c>
      <c r="B168" s="44" t="inlineStr">
        <is>
          <t>ecommerce</t>
        </is>
      </c>
      <c r="C168" s="44" t="inlineStr">
        <is>
          <t>medium</t>
        </is>
      </c>
      <c r="D168" s="44" t="inlineStr">
        <is>
          <t>fe</t>
        </is>
      </c>
      <c r="E168" s="45" t="n">
        <v>93.59999999999999</v>
      </c>
      <c r="F168" s="45" t="n">
        <v>119.6</v>
      </c>
    </row>
    <row r="169">
      <c r="A169" s="44" t="inlineStr">
        <is>
          <t>P108</t>
        </is>
      </c>
      <c r="B169" s="44" t="inlineStr">
        <is>
          <t>ecommerce</t>
        </is>
      </c>
      <c r="C169" s="44" t="inlineStr">
        <is>
          <t>medium</t>
        </is>
      </c>
      <c r="D169" s="44" t="inlineStr">
        <is>
          <t>be</t>
        </is>
      </c>
      <c r="E169" s="45" t="n">
        <v>101.4</v>
      </c>
      <c r="F169" s="45" t="n">
        <v>127.3</v>
      </c>
    </row>
    <row r="170">
      <c r="A170" s="44" t="inlineStr">
        <is>
          <t>P108</t>
        </is>
      </c>
      <c r="B170" s="44" t="inlineStr">
        <is>
          <t>ecommerce</t>
        </is>
      </c>
      <c r="C170" s="44" t="inlineStr">
        <is>
          <t>medium</t>
        </is>
      </c>
      <c r="D170" s="44" t="inlineStr">
        <is>
          <t>qa</t>
        </is>
      </c>
      <c r="E170" s="45" t="n">
        <v>54.6</v>
      </c>
      <c r="F170" s="45" t="n">
        <v>63.8</v>
      </c>
    </row>
    <row r="171">
      <c r="A171" s="44" t="inlineStr">
        <is>
          <t>P108</t>
        </is>
      </c>
      <c r="B171" s="44" t="inlineStr">
        <is>
          <t>search</t>
        </is>
      </c>
      <c r="C171" s="44" t="inlineStr">
        <is>
          <t>medium</t>
        </is>
      </c>
      <c r="D171" s="44" t="inlineStr">
        <is>
          <t>fe</t>
        </is>
      </c>
      <c r="E171" s="45" t="n">
        <v>37.8</v>
      </c>
      <c r="F171" s="45" t="n">
        <v>50.9</v>
      </c>
    </row>
    <row r="172">
      <c r="A172" s="44" t="inlineStr">
        <is>
          <t>P108</t>
        </is>
      </c>
      <c r="B172" s="44" t="inlineStr">
        <is>
          <t>search</t>
        </is>
      </c>
      <c r="C172" s="44" t="inlineStr">
        <is>
          <t>medium</t>
        </is>
      </c>
      <c r="D172" s="44" t="inlineStr">
        <is>
          <t>be</t>
        </is>
      </c>
      <c r="E172" s="45" t="n">
        <v>52.9</v>
      </c>
      <c r="F172" s="45" t="n">
        <v>60.7</v>
      </c>
    </row>
    <row r="173">
      <c r="A173" s="44" t="inlineStr">
        <is>
          <t>P108</t>
        </is>
      </c>
      <c r="B173" s="44" t="inlineStr">
        <is>
          <t>search</t>
        </is>
      </c>
      <c r="C173" s="44" t="inlineStr">
        <is>
          <t>medium</t>
        </is>
      </c>
      <c r="D173" s="44" t="inlineStr">
        <is>
          <t>qa</t>
        </is>
      </c>
      <c r="E173" s="45" t="n">
        <v>18.9</v>
      </c>
      <c r="F173" s="45" t="n">
        <v>22.3</v>
      </c>
    </row>
    <row r="174">
      <c r="A174" s="44" t="inlineStr">
        <is>
          <t>P108</t>
        </is>
      </c>
      <c r="B174" s="44" t="inlineStr">
        <is>
          <t>integration</t>
        </is>
      </c>
      <c r="C174" s="44" t="inlineStr">
        <is>
          <t>high</t>
        </is>
      </c>
      <c r="D174" s="44" t="inlineStr">
        <is>
          <t>ba</t>
        </is>
      </c>
      <c r="E174" s="45" t="n">
        <v>20</v>
      </c>
      <c r="F174" s="45" t="n">
        <v>22.7</v>
      </c>
    </row>
    <row r="175">
      <c r="A175" s="44" t="inlineStr">
        <is>
          <t>P108</t>
        </is>
      </c>
      <c r="B175" s="44" t="inlineStr">
        <is>
          <t>integration</t>
        </is>
      </c>
      <c r="C175" s="44" t="inlineStr">
        <is>
          <t>high</t>
        </is>
      </c>
      <c r="D175" s="44" t="inlineStr">
        <is>
          <t>be</t>
        </is>
      </c>
      <c r="E175" s="45" t="n">
        <v>120.3</v>
      </c>
      <c r="F175" s="45" t="n">
        <v>138</v>
      </c>
    </row>
    <row r="176">
      <c r="A176" s="44" t="inlineStr">
        <is>
          <t>P108</t>
        </is>
      </c>
      <c r="B176" s="44" t="inlineStr">
        <is>
          <t>integration</t>
        </is>
      </c>
      <c r="C176" s="44" t="inlineStr">
        <is>
          <t>high</t>
        </is>
      </c>
      <c r="D176" s="44" t="inlineStr">
        <is>
          <t>qa</t>
        </is>
      </c>
      <c r="E176" s="45" t="n">
        <v>40.1</v>
      </c>
      <c r="F176" s="45" t="n">
        <v>44.3</v>
      </c>
    </row>
    <row r="177">
      <c r="A177" s="44" t="inlineStr">
        <is>
          <t>P108</t>
        </is>
      </c>
      <c r="B177" s="44" t="inlineStr">
        <is>
          <t>auth</t>
        </is>
      </c>
      <c r="C177" s="44" t="inlineStr">
        <is>
          <t>medium</t>
        </is>
      </c>
      <c r="D177" s="44" t="inlineStr">
        <is>
          <t>ba</t>
        </is>
      </c>
      <c r="E177" s="45" t="n">
        <v>8.1</v>
      </c>
      <c r="F177" s="45" t="n">
        <v>8.5</v>
      </c>
    </row>
    <row r="178">
      <c r="A178" s="44" t="inlineStr">
        <is>
          <t>P108</t>
        </is>
      </c>
      <c r="B178" s="44" t="inlineStr">
        <is>
          <t>auth</t>
        </is>
      </c>
      <c r="C178" s="44" t="inlineStr">
        <is>
          <t>medium</t>
        </is>
      </c>
      <c r="D178" s="44" t="inlineStr">
        <is>
          <t>uiux</t>
        </is>
      </c>
      <c r="E178" s="45" t="n">
        <v>12.1</v>
      </c>
      <c r="F178" s="45" t="n">
        <v>14.1</v>
      </c>
    </row>
    <row r="179">
      <c r="A179" s="44" t="inlineStr">
        <is>
          <t>P108</t>
        </is>
      </c>
      <c r="B179" s="44" t="inlineStr">
        <is>
          <t>auth</t>
        </is>
      </c>
      <c r="C179" s="44" t="inlineStr">
        <is>
          <t>medium</t>
        </is>
      </c>
      <c r="D179" s="44" t="inlineStr">
        <is>
          <t>fe</t>
        </is>
      </c>
      <c r="E179" s="45" t="n">
        <v>40.3</v>
      </c>
      <c r="F179" s="45" t="n">
        <v>50.9</v>
      </c>
    </row>
    <row r="180">
      <c r="A180" s="44" t="inlineStr">
        <is>
          <t>P108</t>
        </is>
      </c>
      <c r="B180" s="44" t="inlineStr">
        <is>
          <t>auth</t>
        </is>
      </c>
      <c r="C180" s="44" t="inlineStr">
        <is>
          <t>medium</t>
        </is>
      </c>
      <c r="D180" s="44" t="inlineStr">
        <is>
          <t>be</t>
        </is>
      </c>
      <c r="E180" s="45" t="n">
        <v>56.4</v>
      </c>
      <c r="F180" s="45" t="n">
        <v>65.09999999999999</v>
      </c>
    </row>
    <row r="181">
      <c r="A181" s="44" t="inlineStr">
        <is>
          <t>P108</t>
        </is>
      </c>
      <c r="B181" s="44" t="inlineStr">
        <is>
          <t>auth</t>
        </is>
      </c>
      <c r="C181" s="44" t="inlineStr">
        <is>
          <t>medium</t>
        </is>
      </c>
      <c r="D181" s="44" t="inlineStr">
        <is>
          <t>qa</t>
        </is>
      </c>
      <c r="E181" s="45" t="n">
        <v>24.2</v>
      </c>
      <c r="F181" s="45" t="n">
        <v>27.9</v>
      </c>
    </row>
    <row r="182">
      <c r="A182" s="44" t="inlineStr">
        <is>
          <t>P108</t>
        </is>
      </c>
      <c r="B182" s="44" t="inlineStr">
        <is>
          <t>admin_panel</t>
        </is>
      </c>
      <c r="C182" s="44" t="inlineStr">
        <is>
          <t>low</t>
        </is>
      </c>
      <c r="D182" s="44" t="inlineStr">
        <is>
          <t>ba</t>
        </is>
      </c>
      <c r="E182" s="45" t="n">
        <v>10.3</v>
      </c>
      <c r="F182" s="45" t="n">
        <v>11.4</v>
      </c>
    </row>
    <row r="183">
      <c r="A183" s="44" t="inlineStr">
        <is>
          <t>P108</t>
        </is>
      </c>
      <c r="B183" s="44" t="inlineStr">
        <is>
          <t>admin_panel</t>
        </is>
      </c>
      <c r="C183" s="44" t="inlineStr">
        <is>
          <t>low</t>
        </is>
      </c>
      <c r="D183" s="44" t="inlineStr">
        <is>
          <t>uiux</t>
        </is>
      </c>
      <c r="E183" s="45" t="n">
        <v>15.5</v>
      </c>
      <c r="F183" s="45" t="n">
        <v>17.9</v>
      </c>
    </row>
    <row r="184">
      <c r="A184" s="44" t="inlineStr">
        <is>
          <t>P108</t>
        </is>
      </c>
      <c r="B184" s="44" t="inlineStr">
        <is>
          <t>admin_panel</t>
        </is>
      </c>
      <c r="C184" s="44" t="inlineStr">
        <is>
          <t>low</t>
        </is>
      </c>
      <c r="D184" s="44" t="inlineStr">
        <is>
          <t>fe</t>
        </is>
      </c>
      <c r="E184" s="45" t="n">
        <v>51.7</v>
      </c>
      <c r="F184" s="45" t="n">
        <v>51.2</v>
      </c>
    </row>
    <row r="185">
      <c r="A185" s="44" t="inlineStr">
        <is>
          <t>P108</t>
        </is>
      </c>
      <c r="B185" s="44" t="inlineStr">
        <is>
          <t>admin_panel</t>
        </is>
      </c>
      <c r="C185" s="44" t="inlineStr">
        <is>
          <t>low</t>
        </is>
      </c>
      <c r="D185" s="44" t="inlineStr">
        <is>
          <t>be</t>
        </is>
      </c>
      <c r="E185" s="45" t="n">
        <v>46.6</v>
      </c>
      <c r="F185" s="45" t="n">
        <v>57</v>
      </c>
    </row>
    <row r="186">
      <c r="A186" s="44" t="inlineStr">
        <is>
          <t>P108</t>
        </is>
      </c>
      <c r="B186" s="44" t="inlineStr">
        <is>
          <t>admin_panel</t>
        </is>
      </c>
      <c r="C186" s="44" t="inlineStr">
        <is>
          <t>low</t>
        </is>
      </c>
      <c r="D186" s="44" t="inlineStr">
        <is>
          <t>qa</t>
        </is>
      </c>
      <c r="E186" s="45" t="n">
        <v>25.9</v>
      </c>
      <c r="F186" s="45" t="n">
        <v>28.5</v>
      </c>
    </row>
    <row r="187">
      <c r="A187" s="44" t="inlineStr">
        <is>
          <t>P108</t>
        </is>
      </c>
      <c r="B187" s="44" t="inlineStr">
        <is>
          <t>management</t>
        </is>
      </c>
      <c r="C187" s="44" t="inlineStr">
        <is>
          <t>medium</t>
        </is>
      </c>
      <c r="D187" s="44" t="inlineStr">
        <is>
          <t>pm</t>
        </is>
      </c>
      <c r="E187" s="45" t="n">
        <v>86.2</v>
      </c>
      <c r="F187" s="45" t="n">
        <v>102.2</v>
      </c>
    </row>
    <row r="188">
      <c r="A188" s="44" t="inlineStr">
        <is>
          <t>P108</t>
        </is>
      </c>
      <c r="B188" s="44" t="inlineStr">
        <is>
          <t>management</t>
        </is>
      </c>
      <c r="C188" s="44" t="inlineStr">
        <is>
          <t>medium</t>
        </is>
      </c>
      <c r="D188" s="44" t="inlineStr">
        <is>
          <t>lead</t>
        </is>
      </c>
      <c r="E188" s="45" t="n">
        <v>51.7</v>
      </c>
      <c r="F188" s="45" t="n">
        <v>58.3</v>
      </c>
    </row>
    <row r="189">
      <c r="A189" s="44" t="inlineStr">
        <is>
          <t>P109</t>
        </is>
      </c>
      <c r="B189" s="44" t="inlineStr">
        <is>
          <t>booking</t>
        </is>
      </c>
      <c r="C189" s="44" t="inlineStr">
        <is>
          <t>high</t>
        </is>
      </c>
      <c r="D189" s="44" t="inlineStr">
        <is>
          <t>ba</t>
        </is>
      </c>
      <c r="E189" s="45" t="n">
        <v>37.1</v>
      </c>
      <c r="F189" s="45" t="n">
        <v>43.9</v>
      </c>
    </row>
    <row r="190">
      <c r="A190" s="44" t="inlineStr">
        <is>
          <t>P109</t>
        </is>
      </c>
      <c r="B190" s="44" t="inlineStr">
        <is>
          <t>booking</t>
        </is>
      </c>
      <c r="C190" s="44" t="inlineStr">
        <is>
          <t>high</t>
        </is>
      </c>
      <c r="D190" s="44" t="inlineStr">
        <is>
          <t>uiux</t>
        </is>
      </c>
      <c r="E190" s="45" t="n">
        <v>37.1</v>
      </c>
      <c r="F190" s="45" t="n">
        <v>45.5</v>
      </c>
    </row>
    <row r="191">
      <c r="A191" s="44" t="inlineStr">
        <is>
          <t>P109</t>
        </is>
      </c>
      <c r="B191" s="44" t="inlineStr">
        <is>
          <t>booking</t>
        </is>
      </c>
      <c r="C191" s="44" t="inlineStr">
        <is>
          <t>high</t>
        </is>
      </c>
      <c r="D191" s="44" t="inlineStr">
        <is>
          <t>fe</t>
        </is>
      </c>
      <c r="E191" s="45" t="n">
        <v>98.90000000000001</v>
      </c>
      <c r="F191" s="45" t="n">
        <v>123.8</v>
      </c>
    </row>
    <row r="192">
      <c r="A192" s="44" t="inlineStr">
        <is>
          <t>P109</t>
        </is>
      </c>
      <c r="B192" s="44" t="inlineStr">
        <is>
          <t>booking</t>
        </is>
      </c>
      <c r="C192" s="44" t="inlineStr">
        <is>
          <t>high</t>
        </is>
      </c>
      <c r="D192" s="44" t="inlineStr">
        <is>
          <t>be</t>
        </is>
      </c>
      <c r="E192" s="45" t="n">
        <v>185.5</v>
      </c>
      <c r="F192" s="45" t="n">
        <v>212.5</v>
      </c>
    </row>
    <row r="193">
      <c r="A193" s="44" t="inlineStr">
        <is>
          <t>P109</t>
        </is>
      </c>
      <c r="B193" s="44" t="inlineStr">
        <is>
          <t>booking</t>
        </is>
      </c>
      <c r="C193" s="44" t="inlineStr">
        <is>
          <t>high</t>
        </is>
      </c>
      <c r="D193" s="44" t="inlineStr">
        <is>
          <t>qa</t>
        </is>
      </c>
      <c r="E193" s="45" t="n">
        <v>86.5</v>
      </c>
      <c r="F193" s="45" t="n">
        <v>96.59999999999999</v>
      </c>
    </row>
    <row r="194">
      <c r="A194" s="44" t="inlineStr">
        <is>
          <t>P109</t>
        </is>
      </c>
      <c r="B194" s="44" t="inlineStr">
        <is>
          <t>payments</t>
        </is>
      </c>
      <c r="C194" s="44" t="inlineStr">
        <is>
          <t>medium</t>
        </is>
      </c>
      <c r="D194" s="44" t="inlineStr">
        <is>
          <t>ba</t>
        </is>
      </c>
      <c r="E194" s="45" t="n">
        <v>17.9</v>
      </c>
      <c r="F194" s="45" t="n">
        <v>20.8</v>
      </c>
    </row>
    <row r="195">
      <c r="A195" s="44" t="inlineStr">
        <is>
          <t>P109</t>
        </is>
      </c>
      <c r="B195" s="44" t="inlineStr">
        <is>
          <t>payments</t>
        </is>
      </c>
      <c r="C195" s="44" t="inlineStr">
        <is>
          <t>medium</t>
        </is>
      </c>
      <c r="D195" s="44" t="inlineStr">
        <is>
          <t>fe</t>
        </is>
      </c>
      <c r="E195" s="45" t="n">
        <v>35.7</v>
      </c>
      <c r="F195" s="45" t="n">
        <v>37.5</v>
      </c>
    </row>
    <row r="196">
      <c r="A196" s="44" t="inlineStr">
        <is>
          <t>P109</t>
        </is>
      </c>
      <c r="B196" s="44" t="inlineStr">
        <is>
          <t>payments</t>
        </is>
      </c>
      <c r="C196" s="44" t="inlineStr">
        <is>
          <t>medium</t>
        </is>
      </c>
      <c r="D196" s="44" t="inlineStr">
        <is>
          <t>be</t>
        </is>
      </c>
      <c r="E196" s="45" t="n">
        <v>107.1</v>
      </c>
      <c r="F196" s="45" t="n">
        <v>127.1</v>
      </c>
    </row>
    <row r="197">
      <c r="A197" s="44" t="inlineStr">
        <is>
          <t>P109</t>
        </is>
      </c>
      <c r="B197" s="44" t="inlineStr">
        <is>
          <t>payments</t>
        </is>
      </c>
      <c r="C197" s="44" t="inlineStr">
        <is>
          <t>medium</t>
        </is>
      </c>
      <c r="D197" s="44" t="inlineStr">
        <is>
          <t>qa</t>
        </is>
      </c>
      <c r="E197" s="45" t="n">
        <v>53.6</v>
      </c>
      <c r="F197" s="45" t="n">
        <v>64.3</v>
      </c>
    </row>
    <row r="198">
      <c r="A198" s="44" t="inlineStr">
        <is>
          <t>P109</t>
        </is>
      </c>
      <c r="B198" s="44" t="inlineStr">
        <is>
          <t>search</t>
        </is>
      </c>
      <c r="C198" s="44" t="inlineStr">
        <is>
          <t>medium</t>
        </is>
      </c>
      <c r="D198" s="44" t="inlineStr">
        <is>
          <t>fe</t>
        </is>
      </c>
      <c r="E198" s="45" t="n">
        <v>34</v>
      </c>
      <c r="F198" s="45" t="n">
        <v>36</v>
      </c>
    </row>
    <row r="199">
      <c r="A199" s="44" t="inlineStr">
        <is>
          <t>P109</t>
        </is>
      </c>
      <c r="B199" s="44" t="inlineStr">
        <is>
          <t>search</t>
        </is>
      </c>
      <c r="C199" s="44" t="inlineStr">
        <is>
          <t>medium</t>
        </is>
      </c>
      <c r="D199" s="44" t="inlineStr">
        <is>
          <t>be</t>
        </is>
      </c>
      <c r="E199" s="45" t="n">
        <v>47.6</v>
      </c>
      <c r="F199" s="45" t="n">
        <v>54</v>
      </c>
    </row>
    <row r="200">
      <c r="A200" s="44" t="inlineStr">
        <is>
          <t>P109</t>
        </is>
      </c>
      <c r="B200" s="44" t="inlineStr">
        <is>
          <t>search</t>
        </is>
      </c>
      <c r="C200" s="44" t="inlineStr">
        <is>
          <t>medium</t>
        </is>
      </c>
      <c r="D200" s="44" t="inlineStr">
        <is>
          <t>qa</t>
        </is>
      </c>
      <c r="E200" s="45" t="n">
        <v>17</v>
      </c>
      <c r="F200" s="45" t="n">
        <v>18</v>
      </c>
    </row>
    <row r="201">
      <c r="A201" s="44" t="inlineStr">
        <is>
          <t>P109</t>
        </is>
      </c>
      <c r="B201" s="44" t="inlineStr">
        <is>
          <t>web_portal</t>
        </is>
      </c>
      <c r="C201" s="44" t="inlineStr">
        <is>
          <t>medium</t>
        </is>
      </c>
      <c r="D201" s="44" t="inlineStr">
        <is>
          <t>ba</t>
        </is>
      </c>
      <c r="E201" s="45" t="n">
        <v>14.2</v>
      </c>
      <c r="F201" s="45" t="n">
        <v>16.9</v>
      </c>
    </row>
    <row r="202">
      <c r="A202" s="44" t="inlineStr">
        <is>
          <t>P109</t>
        </is>
      </c>
      <c r="B202" s="44" t="inlineStr">
        <is>
          <t>web_portal</t>
        </is>
      </c>
      <c r="C202" s="44" t="inlineStr">
        <is>
          <t>medium</t>
        </is>
      </c>
      <c r="D202" s="44" t="inlineStr">
        <is>
          <t>uiux</t>
        </is>
      </c>
      <c r="E202" s="45" t="n">
        <v>53.3</v>
      </c>
      <c r="F202" s="45" t="n">
        <v>60.7</v>
      </c>
    </row>
    <row r="203">
      <c r="A203" s="44" t="inlineStr">
        <is>
          <t>P109</t>
        </is>
      </c>
      <c r="B203" s="44" t="inlineStr">
        <is>
          <t>web_portal</t>
        </is>
      </c>
      <c r="C203" s="44" t="inlineStr">
        <is>
          <t>medium</t>
        </is>
      </c>
      <c r="D203" s="44" t="inlineStr">
        <is>
          <t>fe</t>
        </is>
      </c>
      <c r="E203" s="45" t="n">
        <v>142.1</v>
      </c>
      <c r="F203" s="45" t="n">
        <v>148.4</v>
      </c>
    </row>
    <row r="204">
      <c r="A204" s="44" t="inlineStr">
        <is>
          <t>P109</t>
        </is>
      </c>
      <c r="B204" s="44" t="inlineStr">
        <is>
          <t>web_portal</t>
        </is>
      </c>
      <c r="C204" s="44" t="inlineStr">
        <is>
          <t>medium</t>
        </is>
      </c>
      <c r="D204" s="44" t="inlineStr">
        <is>
          <t>qa</t>
        </is>
      </c>
      <c r="E204" s="45" t="n">
        <v>35.5</v>
      </c>
      <c r="F204" s="45" t="n">
        <v>40.4</v>
      </c>
    </row>
    <row r="205">
      <c r="A205" s="44" t="inlineStr">
        <is>
          <t>P109</t>
        </is>
      </c>
      <c r="B205" s="44" t="inlineStr">
        <is>
          <t>admin_panel</t>
        </is>
      </c>
      <c r="C205" s="44" t="inlineStr">
        <is>
          <t>medium</t>
        </is>
      </c>
      <c r="D205" s="44" t="inlineStr">
        <is>
          <t>ba</t>
        </is>
      </c>
      <c r="E205" s="45" t="n">
        <v>17.9</v>
      </c>
      <c r="F205" s="45" t="n">
        <v>20</v>
      </c>
    </row>
    <row r="206">
      <c r="A206" s="44" t="inlineStr">
        <is>
          <t>P109</t>
        </is>
      </c>
      <c r="B206" s="44" t="inlineStr">
        <is>
          <t>admin_panel</t>
        </is>
      </c>
      <c r="C206" s="44" t="inlineStr">
        <is>
          <t>medium</t>
        </is>
      </c>
      <c r="D206" s="44" t="inlineStr">
        <is>
          <t>uiux</t>
        </is>
      </c>
      <c r="E206" s="45" t="n">
        <v>26.9</v>
      </c>
      <c r="F206" s="45" t="n">
        <v>30.1</v>
      </c>
    </row>
    <row r="207">
      <c r="A207" s="44" t="inlineStr">
        <is>
          <t>P109</t>
        </is>
      </c>
      <c r="B207" s="44" t="inlineStr">
        <is>
          <t>admin_panel</t>
        </is>
      </c>
      <c r="C207" s="44" t="inlineStr">
        <is>
          <t>medium</t>
        </is>
      </c>
      <c r="D207" s="44" t="inlineStr">
        <is>
          <t>fe</t>
        </is>
      </c>
      <c r="E207" s="45" t="n">
        <v>89.59999999999999</v>
      </c>
      <c r="F207" s="45" t="n">
        <v>111.2</v>
      </c>
    </row>
    <row r="208">
      <c r="A208" s="44" t="inlineStr">
        <is>
          <t>P109</t>
        </is>
      </c>
      <c r="B208" s="44" t="inlineStr">
        <is>
          <t>admin_panel</t>
        </is>
      </c>
      <c r="C208" s="44" t="inlineStr">
        <is>
          <t>medium</t>
        </is>
      </c>
      <c r="D208" s="44" t="inlineStr">
        <is>
          <t>be</t>
        </is>
      </c>
      <c r="E208" s="45" t="n">
        <v>80.59999999999999</v>
      </c>
      <c r="F208" s="45" t="n">
        <v>86.90000000000001</v>
      </c>
    </row>
    <row r="209">
      <c r="A209" s="44" t="inlineStr">
        <is>
          <t>P109</t>
        </is>
      </c>
      <c r="B209" s="44" t="inlineStr">
        <is>
          <t>admin_panel</t>
        </is>
      </c>
      <c r="C209" s="44" t="inlineStr">
        <is>
          <t>medium</t>
        </is>
      </c>
      <c r="D209" s="44" t="inlineStr">
        <is>
          <t>qa</t>
        </is>
      </c>
      <c r="E209" s="45" t="n">
        <v>44.8</v>
      </c>
      <c r="F209" s="45" t="n">
        <v>40.6</v>
      </c>
    </row>
    <row r="210">
      <c r="A210" s="44" t="inlineStr">
        <is>
          <t>P109</t>
        </is>
      </c>
      <c r="B210" s="44" t="inlineStr">
        <is>
          <t>notifications</t>
        </is>
      </c>
      <c r="C210" s="44" t="inlineStr">
        <is>
          <t>low</t>
        </is>
      </c>
      <c r="D210" s="44" t="inlineStr">
        <is>
          <t>be</t>
        </is>
      </c>
      <c r="E210" s="45" t="n">
        <v>20.4</v>
      </c>
      <c r="F210" s="45" t="n">
        <v>26.1</v>
      </c>
    </row>
    <row r="211">
      <c r="A211" s="44" t="inlineStr">
        <is>
          <t>P109</t>
        </is>
      </c>
      <c r="B211" s="44" t="inlineStr">
        <is>
          <t>notifications</t>
        </is>
      </c>
      <c r="C211" s="44" t="inlineStr">
        <is>
          <t>low</t>
        </is>
      </c>
      <c r="D211" s="44" t="inlineStr">
        <is>
          <t>mobile</t>
        </is>
      </c>
      <c r="E211" s="45" t="n">
        <v>8.199999999999999</v>
      </c>
      <c r="F211" s="45" t="n">
        <v>9.1</v>
      </c>
    </row>
    <row r="212">
      <c r="A212" s="44" t="inlineStr">
        <is>
          <t>P109</t>
        </is>
      </c>
      <c r="B212" s="44" t="inlineStr">
        <is>
          <t>notifications</t>
        </is>
      </c>
      <c r="C212" s="44" t="inlineStr">
        <is>
          <t>low</t>
        </is>
      </c>
      <c r="D212" s="44" t="inlineStr">
        <is>
          <t>qa</t>
        </is>
      </c>
      <c r="E212" s="45" t="n">
        <v>8.199999999999999</v>
      </c>
      <c r="F212" s="45" t="n">
        <v>10.2</v>
      </c>
    </row>
    <row r="213">
      <c r="A213" s="44" t="inlineStr">
        <is>
          <t>P109</t>
        </is>
      </c>
      <c r="B213" s="44" t="inlineStr">
        <is>
          <t>management</t>
        </is>
      </c>
      <c r="C213" s="44" t="inlineStr">
        <is>
          <t>medium</t>
        </is>
      </c>
      <c r="D213" s="44" t="inlineStr">
        <is>
          <t>pm</t>
        </is>
      </c>
      <c r="E213" s="45" t="n">
        <v>130</v>
      </c>
      <c r="F213" s="45" t="n">
        <v>144.9</v>
      </c>
    </row>
    <row r="214">
      <c r="A214" s="44" t="inlineStr">
        <is>
          <t>P109</t>
        </is>
      </c>
      <c r="B214" s="44" t="inlineStr">
        <is>
          <t>management</t>
        </is>
      </c>
      <c r="C214" s="44" t="inlineStr">
        <is>
          <t>medium</t>
        </is>
      </c>
      <c r="D214" s="44" t="inlineStr">
        <is>
          <t>lead</t>
        </is>
      </c>
      <c r="E214" s="45" t="n">
        <v>78</v>
      </c>
      <c r="F214" s="45" t="n">
        <v>90</v>
      </c>
    </row>
    <row r="215">
      <c r="A215" s="44" t="inlineStr">
        <is>
          <t>P110</t>
        </is>
      </c>
      <c r="B215" s="44" t="inlineStr">
        <is>
          <t>mobile_app</t>
        </is>
      </c>
      <c r="C215" s="44" t="inlineStr">
        <is>
          <t>medium</t>
        </is>
      </c>
      <c r="D215" s="44" t="inlineStr">
        <is>
          <t>uiux</t>
        </is>
      </c>
      <c r="E215" s="45" t="n">
        <v>52.1</v>
      </c>
      <c r="F215" s="45" t="n">
        <v>58.5</v>
      </c>
    </row>
    <row r="216">
      <c r="A216" s="44" t="inlineStr">
        <is>
          <t>P110</t>
        </is>
      </c>
      <c r="B216" s="44" t="inlineStr">
        <is>
          <t>mobile_app</t>
        </is>
      </c>
      <c r="C216" s="44" t="inlineStr">
        <is>
          <t>medium</t>
        </is>
      </c>
      <c r="D216" s="44" t="inlineStr">
        <is>
          <t>mobile</t>
        </is>
      </c>
      <c r="E216" s="45" t="n">
        <v>277.8</v>
      </c>
      <c r="F216" s="45" t="n">
        <v>326.5</v>
      </c>
    </row>
    <row r="217">
      <c r="A217" s="44" t="inlineStr">
        <is>
          <t>P110</t>
        </is>
      </c>
      <c r="B217" s="44" t="inlineStr">
        <is>
          <t>mobile_app</t>
        </is>
      </c>
      <c r="C217" s="44" t="inlineStr">
        <is>
          <t>medium</t>
        </is>
      </c>
      <c r="D217" s="44" t="inlineStr">
        <is>
          <t>be</t>
        </is>
      </c>
      <c r="E217" s="45" t="n">
        <v>34.7</v>
      </c>
      <c r="F217" s="45" t="n">
        <v>43.9</v>
      </c>
    </row>
    <row r="218">
      <c r="A218" s="44" t="inlineStr">
        <is>
          <t>P110</t>
        </is>
      </c>
      <c r="B218" s="44" t="inlineStr">
        <is>
          <t>mobile_app</t>
        </is>
      </c>
      <c r="C218" s="44" t="inlineStr">
        <is>
          <t>medium</t>
        </is>
      </c>
      <c r="D218" s="44" t="inlineStr">
        <is>
          <t>qa</t>
        </is>
      </c>
      <c r="E218" s="45" t="n">
        <v>104.2</v>
      </c>
      <c r="F218" s="45" t="n">
        <v>119.6</v>
      </c>
    </row>
    <row r="219">
      <c r="A219" s="44" t="inlineStr">
        <is>
          <t>P110</t>
        </is>
      </c>
      <c r="B219" s="44" t="inlineStr">
        <is>
          <t>booking</t>
        </is>
      </c>
      <c r="C219" s="44" t="inlineStr">
        <is>
          <t>medium</t>
        </is>
      </c>
      <c r="D219" s="44" t="inlineStr">
        <is>
          <t>ba</t>
        </is>
      </c>
      <c r="E219" s="45" t="n">
        <v>24.1</v>
      </c>
      <c r="F219" s="45" t="n">
        <v>33.4</v>
      </c>
    </row>
    <row r="220">
      <c r="A220" s="44" t="inlineStr">
        <is>
          <t>P110</t>
        </is>
      </c>
      <c r="B220" s="44" t="inlineStr">
        <is>
          <t>booking</t>
        </is>
      </c>
      <c r="C220" s="44" t="inlineStr">
        <is>
          <t>medium</t>
        </is>
      </c>
      <c r="D220" s="44" t="inlineStr">
        <is>
          <t>uiux</t>
        </is>
      </c>
      <c r="E220" s="45" t="n">
        <v>24.1</v>
      </c>
      <c r="F220" s="45" t="n">
        <v>27.5</v>
      </c>
    </row>
    <row r="221">
      <c r="A221" s="44" t="inlineStr">
        <is>
          <t>P110</t>
        </is>
      </c>
      <c r="B221" s="44" t="inlineStr">
        <is>
          <t>booking</t>
        </is>
      </c>
      <c r="C221" s="44" t="inlineStr">
        <is>
          <t>medium</t>
        </is>
      </c>
      <c r="D221" s="44" t="inlineStr">
        <is>
          <t>fe</t>
        </is>
      </c>
      <c r="E221" s="45" t="n">
        <v>64.2</v>
      </c>
      <c r="F221" s="45" t="n">
        <v>93</v>
      </c>
    </row>
    <row r="222">
      <c r="A222" s="44" t="inlineStr">
        <is>
          <t>P110</t>
        </is>
      </c>
      <c r="B222" s="44" t="inlineStr">
        <is>
          <t>booking</t>
        </is>
      </c>
      <c r="C222" s="44" t="inlineStr">
        <is>
          <t>medium</t>
        </is>
      </c>
      <c r="D222" s="44" t="inlineStr">
        <is>
          <t>be</t>
        </is>
      </c>
      <c r="E222" s="45" t="n">
        <v>120.3</v>
      </c>
      <c r="F222" s="45" t="n">
        <v>153</v>
      </c>
    </row>
    <row r="223">
      <c r="A223" s="44" t="inlineStr">
        <is>
          <t>P110</t>
        </is>
      </c>
      <c r="B223" s="44" t="inlineStr">
        <is>
          <t>booking</t>
        </is>
      </c>
      <c r="C223" s="44" t="inlineStr">
        <is>
          <t>medium</t>
        </is>
      </c>
      <c r="D223" s="44" t="inlineStr">
        <is>
          <t>qa</t>
        </is>
      </c>
      <c r="E223" s="45" t="n">
        <v>56.1</v>
      </c>
      <c r="F223" s="45" t="n">
        <v>69.5</v>
      </c>
    </row>
    <row r="224">
      <c r="A224" s="44" t="inlineStr">
        <is>
          <t>P110</t>
        </is>
      </c>
      <c r="B224" s="44" t="inlineStr">
        <is>
          <t>payments</t>
        </is>
      </c>
      <c r="C224" s="44" t="inlineStr">
        <is>
          <t>medium</t>
        </is>
      </c>
      <c r="D224" s="44" t="inlineStr">
        <is>
          <t>ba</t>
        </is>
      </c>
      <c r="E224" s="45" t="n">
        <v>13.6</v>
      </c>
      <c r="F224" s="45" t="n">
        <v>15.5</v>
      </c>
    </row>
    <row r="225">
      <c r="A225" s="44" t="inlineStr">
        <is>
          <t>P110</t>
        </is>
      </c>
      <c r="B225" s="44" t="inlineStr">
        <is>
          <t>payments</t>
        </is>
      </c>
      <c r="C225" s="44" t="inlineStr">
        <is>
          <t>medium</t>
        </is>
      </c>
      <c r="D225" s="44" t="inlineStr">
        <is>
          <t>fe</t>
        </is>
      </c>
      <c r="E225" s="45" t="n">
        <v>27.2</v>
      </c>
      <c r="F225" s="45" t="n">
        <v>31.4</v>
      </c>
    </row>
    <row r="226">
      <c r="A226" s="44" t="inlineStr">
        <is>
          <t>P110</t>
        </is>
      </c>
      <c r="B226" s="44" t="inlineStr">
        <is>
          <t>payments</t>
        </is>
      </c>
      <c r="C226" s="44" t="inlineStr">
        <is>
          <t>medium</t>
        </is>
      </c>
      <c r="D226" s="44" t="inlineStr">
        <is>
          <t>be</t>
        </is>
      </c>
      <c r="E226" s="45" t="n">
        <v>81.59999999999999</v>
      </c>
      <c r="F226" s="45" t="n">
        <v>96.90000000000001</v>
      </c>
    </row>
    <row r="227">
      <c r="A227" s="44" t="inlineStr">
        <is>
          <t>P110</t>
        </is>
      </c>
      <c r="B227" s="44" t="inlineStr">
        <is>
          <t>payments</t>
        </is>
      </c>
      <c r="C227" s="44" t="inlineStr">
        <is>
          <t>medium</t>
        </is>
      </c>
      <c r="D227" s="44" t="inlineStr">
        <is>
          <t>qa</t>
        </is>
      </c>
      <c r="E227" s="45" t="n">
        <v>40.8</v>
      </c>
      <c r="F227" s="45" t="n">
        <v>51.8</v>
      </c>
    </row>
    <row r="228">
      <c r="A228" s="44" t="inlineStr">
        <is>
          <t>P110</t>
        </is>
      </c>
      <c r="B228" s="44" t="inlineStr">
        <is>
          <t>geo</t>
        </is>
      </c>
      <c r="C228" s="44" t="inlineStr">
        <is>
          <t>medium</t>
        </is>
      </c>
      <c r="D228" s="44" t="inlineStr">
        <is>
          <t>fe</t>
        </is>
      </c>
      <c r="E228" s="45" t="n">
        <v>41.6</v>
      </c>
      <c r="F228" s="45" t="n">
        <v>54</v>
      </c>
    </row>
    <row r="229">
      <c r="A229" s="44" t="inlineStr">
        <is>
          <t>P110</t>
        </is>
      </c>
      <c r="B229" s="44" t="inlineStr">
        <is>
          <t>geo</t>
        </is>
      </c>
      <c r="C229" s="44" t="inlineStr">
        <is>
          <t>medium</t>
        </is>
      </c>
      <c r="D229" s="44" t="inlineStr">
        <is>
          <t>be</t>
        </is>
      </c>
      <c r="E229" s="45" t="n">
        <v>58.3</v>
      </c>
      <c r="F229" s="45" t="n">
        <v>71.40000000000001</v>
      </c>
    </row>
    <row r="230">
      <c r="A230" s="44" t="inlineStr">
        <is>
          <t>P110</t>
        </is>
      </c>
      <c r="B230" s="44" t="inlineStr">
        <is>
          <t>geo</t>
        </is>
      </c>
      <c r="C230" s="44" t="inlineStr">
        <is>
          <t>medium</t>
        </is>
      </c>
      <c r="D230" s="44" t="inlineStr">
        <is>
          <t>mobile</t>
        </is>
      </c>
      <c r="E230" s="45" t="n">
        <v>41.6</v>
      </c>
      <c r="F230" s="45" t="n">
        <v>56.7</v>
      </c>
    </row>
    <row r="231">
      <c r="A231" s="44" t="inlineStr">
        <is>
          <t>P110</t>
        </is>
      </c>
      <c r="B231" s="44" t="inlineStr">
        <is>
          <t>geo</t>
        </is>
      </c>
      <c r="C231" s="44" t="inlineStr">
        <is>
          <t>medium</t>
        </is>
      </c>
      <c r="D231" s="44" t="inlineStr">
        <is>
          <t>qa</t>
        </is>
      </c>
      <c r="E231" s="45" t="n">
        <v>25</v>
      </c>
      <c r="F231" s="45" t="n">
        <v>32.4</v>
      </c>
    </row>
    <row r="232">
      <c r="A232" s="44" t="inlineStr">
        <is>
          <t>P110</t>
        </is>
      </c>
      <c r="B232" s="44" t="inlineStr">
        <is>
          <t>management</t>
        </is>
      </c>
      <c r="C232" s="44" t="inlineStr">
        <is>
          <t>medium</t>
        </is>
      </c>
      <c r="D232" s="44" t="inlineStr">
        <is>
          <t>pm</t>
        </is>
      </c>
      <c r="E232" s="45" t="n">
        <v>108.7</v>
      </c>
      <c r="F232" s="45" t="n">
        <v>116.6</v>
      </c>
    </row>
    <row r="233">
      <c r="A233" s="44" t="inlineStr">
        <is>
          <t>P110</t>
        </is>
      </c>
      <c r="B233" s="44" t="inlineStr">
        <is>
          <t>management</t>
        </is>
      </c>
      <c r="C233" s="44" t="inlineStr">
        <is>
          <t>medium</t>
        </is>
      </c>
      <c r="D233" s="44" t="inlineStr">
        <is>
          <t>lead</t>
        </is>
      </c>
      <c r="E233" s="45" t="n">
        <v>65.2</v>
      </c>
      <c r="F233" s="45" t="n">
        <v>73.40000000000001</v>
      </c>
    </row>
    <row r="234">
      <c r="A234" s="44" t="inlineStr">
        <is>
          <t>P111</t>
        </is>
      </c>
      <c r="B234" s="44" t="inlineStr">
        <is>
          <t>web_portal</t>
        </is>
      </c>
      <c r="C234" s="44" t="inlineStr">
        <is>
          <t>high</t>
        </is>
      </c>
      <c r="D234" s="44" t="inlineStr">
        <is>
          <t>ba</t>
        </is>
      </c>
      <c r="E234" s="45" t="n">
        <v>26.3</v>
      </c>
      <c r="F234" s="45" t="n">
        <v>28.1</v>
      </c>
    </row>
    <row r="235">
      <c r="A235" s="44" t="inlineStr">
        <is>
          <t>P111</t>
        </is>
      </c>
      <c r="B235" s="44" t="inlineStr">
        <is>
          <t>web_portal</t>
        </is>
      </c>
      <c r="C235" s="44" t="inlineStr">
        <is>
          <t>high</t>
        </is>
      </c>
      <c r="D235" s="44" t="inlineStr">
        <is>
          <t>uiux</t>
        </is>
      </c>
      <c r="E235" s="45" t="n">
        <v>98.8</v>
      </c>
      <c r="F235" s="45" t="n">
        <v>126.1</v>
      </c>
    </row>
    <row r="236">
      <c r="A236" s="44" t="inlineStr">
        <is>
          <t>P111</t>
        </is>
      </c>
      <c r="B236" s="44" t="inlineStr">
        <is>
          <t>web_portal</t>
        </is>
      </c>
      <c r="C236" s="44" t="inlineStr">
        <is>
          <t>high</t>
        </is>
      </c>
      <c r="D236" s="44" t="inlineStr">
        <is>
          <t>fe</t>
        </is>
      </c>
      <c r="E236" s="45" t="n">
        <v>263.5</v>
      </c>
      <c r="F236" s="45" t="n">
        <v>331.3</v>
      </c>
    </row>
    <row r="237">
      <c r="A237" s="44" t="inlineStr">
        <is>
          <t>P111</t>
        </is>
      </c>
      <c r="B237" s="44" t="inlineStr">
        <is>
          <t>web_portal</t>
        </is>
      </c>
      <c r="C237" s="44" t="inlineStr">
        <is>
          <t>high</t>
        </is>
      </c>
      <c r="D237" s="44" t="inlineStr">
        <is>
          <t>qa</t>
        </is>
      </c>
      <c r="E237" s="45" t="n">
        <v>65.90000000000001</v>
      </c>
      <c r="F237" s="45" t="n">
        <v>88.5</v>
      </c>
    </row>
    <row r="238">
      <c r="A238" s="44" t="inlineStr">
        <is>
          <t>P111</t>
        </is>
      </c>
      <c r="B238" s="44" t="inlineStr">
        <is>
          <t>auth</t>
        </is>
      </c>
      <c r="C238" s="44" t="inlineStr">
        <is>
          <t>medium</t>
        </is>
      </c>
      <c r="D238" s="44" t="inlineStr">
        <is>
          <t>ba</t>
        </is>
      </c>
      <c r="E238" s="45" t="n">
        <v>8.6</v>
      </c>
      <c r="F238" s="45" t="n">
        <v>9.199999999999999</v>
      </c>
    </row>
    <row r="239">
      <c r="A239" s="44" t="inlineStr">
        <is>
          <t>P111</t>
        </is>
      </c>
      <c r="B239" s="44" t="inlineStr">
        <is>
          <t>auth</t>
        </is>
      </c>
      <c r="C239" s="44" t="inlineStr">
        <is>
          <t>medium</t>
        </is>
      </c>
      <c r="D239" s="44" t="inlineStr">
        <is>
          <t>uiux</t>
        </is>
      </c>
      <c r="E239" s="45" t="n">
        <v>13</v>
      </c>
      <c r="F239" s="45" t="n">
        <v>15</v>
      </c>
    </row>
    <row r="240">
      <c r="A240" s="44" t="inlineStr">
        <is>
          <t>P111</t>
        </is>
      </c>
      <c r="B240" s="44" t="inlineStr">
        <is>
          <t>auth</t>
        </is>
      </c>
      <c r="C240" s="44" t="inlineStr">
        <is>
          <t>medium</t>
        </is>
      </c>
      <c r="D240" s="44" t="inlineStr">
        <is>
          <t>fe</t>
        </is>
      </c>
      <c r="E240" s="45" t="n">
        <v>43.2</v>
      </c>
      <c r="F240" s="45" t="n">
        <v>44.5</v>
      </c>
    </row>
    <row r="241">
      <c r="A241" s="44" t="inlineStr">
        <is>
          <t>P111</t>
        </is>
      </c>
      <c r="B241" s="44" t="inlineStr">
        <is>
          <t>auth</t>
        </is>
      </c>
      <c r="C241" s="44" t="inlineStr">
        <is>
          <t>medium</t>
        </is>
      </c>
      <c r="D241" s="44" t="inlineStr">
        <is>
          <t>be</t>
        </is>
      </c>
      <c r="E241" s="45" t="n">
        <v>60.5</v>
      </c>
      <c r="F241" s="45" t="n">
        <v>70.90000000000001</v>
      </c>
    </row>
    <row r="242">
      <c r="A242" s="44" t="inlineStr">
        <is>
          <t>P111</t>
        </is>
      </c>
      <c r="B242" s="44" t="inlineStr">
        <is>
          <t>auth</t>
        </is>
      </c>
      <c r="C242" s="44" t="inlineStr">
        <is>
          <t>medium</t>
        </is>
      </c>
      <c r="D242" s="44" t="inlineStr">
        <is>
          <t>qa</t>
        </is>
      </c>
      <c r="E242" s="45" t="n">
        <v>25.9</v>
      </c>
      <c r="F242" s="45" t="n">
        <v>29.1</v>
      </c>
    </row>
    <row r="243">
      <c r="A243" s="44" t="inlineStr">
        <is>
          <t>P111</t>
        </is>
      </c>
      <c r="B243" s="44" t="inlineStr">
        <is>
          <t>cms</t>
        </is>
      </c>
      <c r="C243" s="44" t="inlineStr">
        <is>
          <t>medium</t>
        </is>
      </c>
      <c r="D243" s="44" t="inlineStr">
        <is>
          <t>uiux</t>
        </is>
      </c>
      <c r="E243" s="45" t="n">
        <v>15</v>
      </c>
      <c r="F243" s="45" t="n">
        <v>15.2</v>
      </c>
    </row>
    <row r="244">
      <c r="A244" s="44" t="inlineStr">
        <is>
          <t>P111</t>
        </is>
      </c>
      <c r="B244" s="44" t="inlineStr">
        <is>
          <t>cms</t>
        </is>
      </c>
      <c r="C244" s="44" t="inlineStr">
        <is>
          <t>medium</t>
        </is>
      </c>
      <c r="D244" s="44" t="inlineStr">
        <is>
          <t>fe</t>
        </is>
      </c>
      <c r="E244" s="45" t="n">
        <v>45</v>
      </c>
      <c r="F244" s="45" t="n">
        <v>49</v>
      </c>
    </row>
    <row r="245">
      <c r="A245" s="44" t="inlineStr">
        <is>
          <t>P111</t>
        </is>
      </c>
      <c r="B245" s="44" t="inlineStr">
        <is>
          <t>cms</t>
        </is>
      </c>
      <c r="C245" s="44" t="inlineStr">
        <is>
          <t>medium</t>
        </is>
      </c>
      <c r="D245" s="44" t="inlineStr">
        <is>
          <t>be</t>
        </is>
      </c>
      <c r="E245" s="45" t="n">
        <v>37.5</v>
      </c>
      <c r="F245" s="45" t="n">
        <v>49.3</v>
      </c>
    </row>
    <row r="246">
      <c r="A246" s="44" t="inlineStr">
        <is>
          <t>P111</t>
        </is>
      </c>
      <c r="B246" s="44" t="inlineStr">
        <is>
          <t>cms</t>
        </is>
      </c>
      <c r="C246" s="44" t="inlineStr">
        <is>
          <t>medium</t>
        </is>
      </c>
      <c r="D246" s="44" t="inlineStr">
        <is>
          <t>qa</t>
        </is>
      </c>
      <c r="E246" s="45" t="n">
        <v>18.7</v>
      </c>
      <c r="F246" s="45" t="n">
        <v>21</v>
      </c>
    </row>
    <row r="247">
      <c r="A247" s="44" t="inlineStr">
        <is>
          <t>P111</t>
        </is>
      </c>
      <c r="B247" s="44" t="inlineStr">
        <is>
          <t>reporting</t>
        </is>
      </c>
      <c r="C247" s="44" t="inlineStr">
        <is>
          <t>medium</t>
        </is>
      </c>
      <c r="D247" s="44" t="inlineStr">
        <is>
          <t>uiux</t>
        </is>
      </c>
      <c r="E247" s="45" t="n">
        <v>15.9</v>
      </c>
      <c r="F247" s="45" t="n">
        <v>18.4</v>
      </c>
    </row>
    <row r="248">
      <c r="A248" s="44" t="inlineStr">
        <is>
          <t>P111</t>
        </is>
      </c>
      <c r="B248" s="44" t="inlineStr">
        <is>
          <t>reporting</t>
        </is>
      </c>
      <c r="C248" s="44" t="inlineStr">
        <is>
          <t>medium</t>
        </is>
      </c>
      <c r="D248" s="44" t="inlineStr">
        <is>
          <t>fe</t>
        </is>
      </c>
      <c r="E248" s="45" t="n">
        <v>55.5</v>
      </c>
      <c r="F248" s="45" t="n">
        <v>60.7</v>
      </c>
    </row>
    <row r="249">
      <c r="A249" s="44" t="inlineStr">
        <is>
          <t>P111</t>
        </is>
      </c>
      <c r="B249" s="44" t="inlineStr">
        <is>
          <t>reporting</t>
        </is>
      </c>
      <c r="C249" s="44" t="inlineStr">
        <is>
          <t>medium</t>
        </is>
      </c>
      <c r="D249" s="44" t="inlineStr">
        <is>
          <t>be</t>
        </is>
      </c>
      <c r="E249" s="45" t="n">
        <v>39.7</v>
      </c>
      <c r="F249" s="45" t="n">
        <v>45.1</v>
      </c>
    </row>
    <row r="250">
      <c r="A250" s="44" t="inlineStr">
        <is>
          <t>P111</t>
        </is>
      </c>
      <c r="B250" s="44" t="inlineStr">
        <is>
          <t>reporting</t>
        </is>
      </c>
      <c r="C250" s="44" t="inlineStr">
        <is>
          <t>medium</t>
        </is>
      </c>
      <c r="D250" s="44" t="inlineStr">
        <is>
          <t>data</t>
        </is>
      </c>
      <c r="E250" s="45" t="n">
        <v>39.7</v>
      </c>
      <c r="F250" s="45" t="n">
        <v>41</v>
      </c>
    </row>
    <row r="251">
      <c r="A251" s="44" t="inlineStr">
        <is>
          <t>P111</t>
        </is>
      </c>
      <c r="B251" s="44" t="inlineStr">
        <is>
          <t>reporting</t>
        </is>
      </c>
      <c r="C251" s="44" t="inlineStr">
        <is>
          <t>medium</t>
        </is>
      </c>
      <c r="D251" s="44" t="inlineStr">
        <is>
          <t>qa</t>
        </is>
      </c>
      <c r="E251" s="45" t="n">
        <v>23.8</v>
      </c>
      <c r="F251" s="45" t="n">
        <v>26.2</v>
      </c>
    </row>
    <row r="252">
      <c r="A252" s="44" t="inlineStr">
        <is>
          <t>P111</t>
        </is>
      </c>
      <c r="B252" s="44" t="inlineStr">
        <is>
          <t>admin_panel</t>
        </is>
      </c>
      <c r="C252" s="44" t="inlineStr">
        <is>
          <t>medium</t>
        </is>
      </c>
      <c r="D252" s="44" t="inlineStr">
        <is>
          <t>ba</t>
        </is>
      </c>
      <c r="E252" s="45" t="n">
        <v>14.8</v>
      </c>
      <c r="F252" s="45" t="n">
        <v>16.7</v>
      </c>
    </row>
    <row r="253">
      <c r="A253" s="44" t="inlineStr">
        <is>
          <t>P111</t>
        </is>
      </c>
      <c r="B253" s="44" t="inlineStr">
        <is>
          <t>admin_panel</t>
        </is>
      </c>
      <c r="C253" s="44" t="inlineStr">
        <is>
          <t>medium</t>
        </is>
      </c>
      <c r="D253" s="44" t="inlineStr">
        <is>
          <t>uiux</t>
        </is>
      </c>
      <c r="E253" s="45" t="n">
        <v>22.3</v>
      </c>
      <c r="F253" s="45" t="n">
        <v>27.3</v>
      </c>
    </row>
    <row r="254">
      <c r="A254" s="44" t="inlineStr">
        <is>
          <t>P111</t>
        </is>
      </c>
      <c r="B254" s="44" t="inlineStr">
        <is>
          <t>admin_panel</t>
        </is>
      </c>
      <c r="C254" s="44" t="inlineStr">
        <is>
          <t>medium</t>
        </is>
      </c>
      <c r="D254" s="44" t="inlineStr">
        <is>
          <t>fe</t>
        </is>
      </c>
      <c r="E254" s="45" t="n">
        <v>74.2</v>
      </c>
      <c r="F254" s="45" t="n">
        <v>74.2</v>
      </c>
    </row>
    <row r="255">
      <c r="A255" s="44" t="inlineStr">
        <is>
          <t>P111</t>
        </is>
      </c>
      <c r="B255" s="44" t="inlineStr">
        <is>
          <t>admin_panel</t>
        </is>
      </c>
      <c r="C255" s="44" t="inlineStr">
        <is>
          <t>medium</t>
        </is>
      </c>
      <c r="D255" s="44" t="inlineStr">
        <is>
          <t>be</t>
        </is>
      </c>
      <c r="E255" s="45" t="n">
        <v>66.8</v>
      </c>
      <c r="F255" s="45" t="n">
        <v>68</v>
      </c>
    </row>
    <row r="256">
      <c r="A256" s="44" t="inlineStr">
        <is>
          <t>P111</t>
        </is>
      </c>
      <c r="B256" s="44" t="inlineStr">
        <is>
          <t>admin_panel</t>
        </is>
      </c>
      <c r="C256" s="44" t="inlineStr">
        <is>
          <t>medium</t>
        </is>
      </c>
      <c r="D256" s="44" t="inlineStr">
        <is>
          <t>qa</t>
        </is>
      </c>
      <c r="E256" s="45" t="n">
        <v>37.1</v>
      </c>
      <c r="F256" s="45" t="n">
        <v>40.1</v>
      </c>
    </row>
    <row r="257">
      <c r="A257" s="44" t="inlineStr">
        <is>
          <t>P111</t>
        </is>
      </c>
      <c r="B257" s="44" t="inlineStr">
        <is>
          <t>management</t>
        </is>
      </c>
      <c r="C257" s="44" t="inlineStr">
        <is>
          <t>medium</t>
        </is>
      </c>
      <c r="D257" s="44" t="inlineStr">
        <is>
          <t>pm</t>
        </is>
      </c>
      <c r="E257" s="45" t="n">
        <v>111.2</v>
      </c>
      <c r="F257" s="45" t="n">
        <v>126.5</v>
      </c>
    </row>
    <row r="258">
      <c r="A258" s="44" t="inlineStr">
        <is>
          <t>P111</t>
        </is>
      </c>
      <c r="B258" s="44" t="inlineStr">
        <is>
          <t>management</t>
        </is>
      </c>
      <c r="C258" s="44" t="inlineStr">
        <is>
          <t>medium</t>
        </is>
      </c>
      <c r="D258" s="44" t="inlineStr">
        <is>
          <t>lead</t>
        </is>
      </c>
      <c r="E258" s="45" t="n">
        <v>66.7</v>
      </c>
      <c r="F258" s="45" t="n">
        <v>74.5</v>
      </c>
    </row>
    <row r="259">
      <c r="A259" s="44" t="inlineStr">
        <is>
          <t>P112</t>
        </is>
      </c>
      <c r="B259" s="44" t="inlineStr">
        <is>
          <t>llm_assistant</t>
        </is>
      </c>
      <c r="C259" s="44" t="inlineStr">
        <is>
          <t>high</t>
        </is>
      </c>
      <c r="D259" s="44" t="inlineStr">
        <is>
          <t>fe</t>
        </is>
      </c>
      <c r="E259" s="45" t="n">
        <v>53.2</v>
      </c>
      <c r="F259" s="45" t="n">
        <v>77</v>
      </c>
    </row>
    <row r="260">
      <c r="A260" s="44" t="inlineStr">
        <is>
          <t>P112</t>
        </is>
      </c>
      <c r="B260" s="44" t="inlineStr">
        <is>
          <t>llm_assistant</t>
        </is>
      </c>
      <c r="C260" s="44" t="inlineStr">
        <is>
          <t>high</t>
        </is>
      </c>
      <c r="D260" s="44" t="inlineStr">
        <is>
          <t>be</t>
        </is>
      </c>
      <c r="E260" s="45" t="n">
        <v>79.8</v>
      </c>
      <c r="F260" s="45" t="n">
        <v>118</v>
      </c>
    </row>
    <row r="261">
      <c r="A261" s="44" t="inlineStr">
        <is>
          <t>P112</t>
        </is>
      </c>
      <c r="B261" s="44" t="inlineStr">
        <is>
          <t>llm_assistant</t>
        </is>
      </c>
      <c r="C261" s="44" t="inlineStr">
        <is>
          <t>high</t>
        </is>
      </c>
      <c r="D261" s="44" t="inlineStr">
        <is>
          <t>ml</t>
        </is>
      </c>
      <c r="E261" s="45" t="n">
        <v>232.9</v>
      </c>
      <c r="F261" s="45" t="n">
        <v>318.9</v>
      </c>
    </row>
    <row r="262">
      <c r="A262" s="44" t="inlineStr">
        <is>
          <t>P112</t>
        </is>
      </c>
      <c r="B262" s="44" t="inlineStr">
        <is>
          <t>llm_assistant</t>
        </is>
      </c>
      <c r="C262" s="44" t="inlineStr">
        <is>
          <t>high</t>
        </is>
      </c>
      <c r="D262" s="44" t="inlineStr">
        <is>
          <t>qa</t>
        </is>
      </c>
      <c r="E262" s="45" t="n">
        <v>66.5</v>
      </c>
      <c r="F262" s="45" t="n">
        <v>94.59999999999999</v>
      </c>
    </row>
    <row r="263">
      <c r="A263" s="44" t="inlineStr">
        <is>
          <t>P112</t>
        </is>
      </c>
      <c r="B263" s="44" t="inlineStr">
        <is>
          <t>web_portal</t>
        </is>
      </c>
      <c r="C263" s="44" t="inlineStr">
        <is>
          <t>low</t>
        </is>
      </c>
      <c r="D263" s="44" t="inlineStr">
        <is>
          <t>ba</t>
        </is>
      </c>
      <c r="E263" s="45" t="n">
        <v>10.2</v>
      </c>
      <c r="F263" s="45" t="n">
        <v>13.3</v>
      </c>
    </row>
    <row r="264">
      <c r="A264" s="44" t="inlineStr">
        <is>
          <t>P112</t>
        </is>
      </c>
      <c r="B264" s="44" t="inlineStr">
        <is>
          <t>web_portal</t>
        </is>
      </c>
      <c r="C264" s="44" t="inlineStr">
        <is>
          <t>low</t>
        </is>
      </c>
      <c r="D264" s="44" t="inlineStr">
        <is>
          <t>uiux</t>
        </is>
      </c>
      <c r="E264" s="45" t="n">
        <v>38.3</v>
      </c>
      <c r="F264" s="45" t="n">
        <v>50.7</v>
      </c>
    </row>
    <row r="265">
      <c r="A265" s="44" t="inlineStr">
        <is>
          <t>P112</t>
        </is>
      </c>
      <c r="B265" s="44" t="inlineStr">
        <is>
          <t>web_portal</t>
        </is>
      </c>
      <c r="C265" s="44" t="inlineStr">
        <is>
          <t>low</t>
        </is>
      </c>
      <c r="D265" s="44" t="inlineStr">
        <is>
          <t>fe</t>
        </is>
      </c>
      <c r="E265" s="45" t="n">
        <v>102.1</v>
      </c>
      <c r="F265" s="45" t="n">
        <v>131.4</v>
      </c>
    </row>
    <row r="266">
      <c r="A266" s="44" t="inlineStr">
        <is>
          <t>P112</t>
        </is>
      </c>
      <c r="B266" s="44" t="inlineStr">
        <is>
          <t>web_portal</t>
        </is>
      </c>
      <c r="C266" s="44" t="inlineStr">
        <is>
          <t>low</t>
        </is>
      </c>
      <c r="D266" s="44" t="inlineStr">
        <is>
          <t>qa</t>
        </is>
      </c>
      <c r="E266" s="45" t="n">
        <v>25.5</v>
      </c>
      <c r="F266" s="45" t="n">
        <v>36.9</v>
      </c>
    </row>
    <row r="267">
      <c r="A267" s="44" t="inlineStr">
        <is>
          <t>P112</t>
        </is>
      </c>
      <c r="B267" s="44" t="inlineStr">
        <is>
          <t>auth</t>
        </is>
      </c>
      <c r="C267" s="44" t="inlineStr">
        <is>
          <t>low</t>
        </is>
      </c>
      <c r="D267" s="44" t="inlineStr">
        <is>
          <t>ba</t>
        </is>
      </c>
      <c r="E267" s="45" t="n">
        <v>4.5</v>
      </c>
      <c r="F267" s="45" t="n">
        <v>6.4</v>
      </c>
    </row>
    <row r="268">
      <c r="A268" s="44" t="inlineStr">
        <is>
          <t>P112</t>
        </is>
      </c>
      <c r="B268" s="44" t="inlineStr">
        <is>
          <t>auth</t>
        </is>
      </c>
      <c r="C268" s="44" t="inlineStr">
        <is>
          <t>low</t>
        </is>
      </c>
      <c r="D268" s="44" t="inlineStr">
        <is>
          <t>uiux</t>
        </is>
      </c>
      <c r="E268" s="45" t="n">
        <v>6.8</v>
      </c>
      <c r="F268" s="45" t="n">
        <v>9.5</v>
      </c>
    </row>
    <row r="269">
      <c r="A269" s="44" t="inlineStr">
        <is>
          <t>P112</t>
        </is>
      </c>
      <c r="B269" s="44" t="inlineStr">
        <is>
          <t>auth</t>
        </is>
      </c>
      <c r="C269" s="44" t="inlineStr">
        <is>
          <t>low</t>
        </is>
      </c>
      <c r="D269" s="44" t="inlineStr">
        <is>
          <t>fe</t>
        </is>
      </c>
      <c r="E269" s="45" t="n">
        <v>22.6</v>
      </c>
      <c r="F269" s="45" t="n">
        <v>29</v>
      </c>
    </row>
    <row r="270">
      <c r="A270" s="44" t="inlineStr">
        <is>
          <t>P112</t>
        </is>
      </c>
      <c r="B270" s="44" t="inlineStr">
        <is>
          <t>auth</t>
        </is>
      </c>
      <c r="C270" s="44" t="inlineStr">
        <is>
          <t>low</t>
        </is>
      </c>
      <c r="D270" s="44" t="inlineStr">
        <is>
          <t>be</t>
        </is>
      </c>
      <c r="E270" s="45" t="n">
        <v>31.7</v>
      </c>
      <c r="F270" s="45" t="n">
        <v>39.5</v>
      </c>
    </row>
    <row r="271">
      <c r="A271" s="44" t="inlineStr">
        <is>
          <t>P112</t>
        </is>
      </c>
      <c r="B271" s="44" t="inlineStr">
        <is>
          <t>auth</t>
        </is>
      </c>
      <c r="C271" s="44" t="inlineStr">
        <is>
          <t>low</t>
        </is>
      </c>
      <c r="D271" s="44" t="inlineStr">
        <is>
          <t>qa</t>
        </is>
      </c>
      <c r="E271" s="45" t="n">
        <v>13.6</v>
      </c>
      <c r="F271" s="45" t="n">
        <v>20.3</v>
      </c>
    </row>
    <row r="272">
      <c r="A272" s="44" t="inlineStr">
        <is>
          <t>P112</t>
        </is>
      </c>
      <c r="B272" s="44" t="inlineStr">
        <is>
          <t>compliance</t>
        </is>
      </c>
      <c r="C272" s="44" t="inlineStr">
        <is>
          <t>medium</t>
        </is>
      </c>
      <c r="D272" s="44" t="inlineStr">
        <is>
          <t>ba</t>
        </is>
      </c>
      <c r="E272" s="45" t="n">
        <v>18.4</v>
      </c>
      <c r="F272" s="45" t="n">
        <v>24.1</v>
      </c>
    </row>
    <row r="273">
      <c r="A273" s="44" t="inlineStr">
        <is>
          <t>P112</t>
        </is>
      </c>
      <c r="B273" s="44" t="inlineStr">
        <is>
          <t>compliance</t>
        </is>
      </c>
      <c r="C273" s="44" t="inlineStr">
        <is>
          <t>medium</t>
        </is>
      </c>
      <c r="D273" s="44" t="inlineStr">
        <is>
          <t>be</t>
        </is>
      </c>
      <c r="E273" s="45" t="n">
        <v>73.5</v>
      </c>
      <c r="F273" s="45" t="n">
        <v>97.7</v>
      </c>
    </row>
    <row r="274">
      <c r="A274" s="44" t="inlineStr">
        <is>
          <t>P112</t>
        </is>
      </c>
      <c r="B274" s="44" t="inlineStr">
        <is>
          <t>compliance</t>
        </is>
      </c>
      <c r="C274" s="44" t="inlineStr">
        <is>
          <t>medium</t>
        </is>
      </c>
      <c r="D274" s="44" t="inlineStr">
        <is>
          <t>devops</t>
        </is>
      </c>
      <c r="E274" s="45" t="n">
        <v>27.6</v>
      </c>
      <c r="F274" s="45" t="n">
        <v>32.6</v>
      </c>
    </row>
    <row r="275">
      <c r="A275" s="44" t="inlineStr">
        <is>
          <t>P112</t>
        </is>
      </c>
      <c r="B275" s="44" t="inlineStr">
        <is>
          <t>compliance</t>
        </is>
      </c>
      <c r="C275" s="44" t="inlineStr">
        <is>
          <t>medium</t>
        </is>
      </c>
      <c r="D275" s="44" t="inlineStr">
        <is>
          <t>qa</t>
        </is>
      </c>
      <c r="E275" s="45" t="n">
        <v>27.6</v>
      </c>
      <c r="F275" s="45" t="n">
        <v>29.9</v>
      </c>
    </row>
    <row r="276">
      <c r="A276" s="44" t="inlineStr">
        <is>
          <t>P112</t>
        </is>
      </c>
      <c r="B276" s="44" t="inlineStr">
        <is>
          <t>management</t>
        </is>
      </c>
      <c r="C276" s="44" t="inlineStr">
        <is>
          <t>medium</t>
        </is>
      </c>
      <c r="D276" s="44" t="inlineStr">
        <is>
          <t>pm</t>
        </is>
      </c>
      <c r="E276" s="45" t="n">
        <v>83.5</v>
      </c>
      <c r="F276" s="45" t="n">
        <v>94.90000000000001</v>
      </c>
    </row>
    <row r="277">
      <c r="A277" s="44" t="inlineStr">
        <is>
          <t>P112</t>
        </is>
      </c>
      <c r="B277" s="44" t="inlineStr">
        <is>
          <t>management</t>
        </is>
      </c>
      <c r="C277" s="44" t="inlineStr">
        <is>
          <t>medium</t>
        </is>
      </c>
      <c r="D277" s="44" t="inlineStr">
        <is>
          <t>lead</t>
        </is>
      </c>
      <c r="E277" s="45" t="n">
        <v>50.1</v>
      </c>
      <c r="F277" s="45" t="n">
        <v>58.9</v>
      </c>
    </row>
    <row r="278">
      <c r="A278" s="44" t="inlineStr">
        <is>
          <t>P113</t>
        </is>
      </c>
      <c r="B278" s="44" t="inlineStr">
        <is>
          <t>mobile_app</t>
        </is>
      </c>
      <c r="C278" s="44" t="inlineStr">
        <is>
          <t>medium</t>
        </is>
      </c>
      <c r="D278" s="44" t="inlineStr">
        <is>
          <t>uiux</t>
        </is>
      </c>
      <c r="E278" s="45" t="n">
        <v>58.7</v>
      </c>
      <c r="F278" s="45" t="n">
        <v>73.5</v>
      </c>
    </row>
    <row r="279">
      <c r="A279" s="44" t="inlineStr">
        <is>
          <t>P113</t>
        </is>
      </c>
      <c r="B279" s="44" t="inlineStr">
        <is>
          <t>mobile_app</t>
        </is>
      </c>
      <c r="C279" s="44" t="inlineStr">
        <is>
          <t>medium</t>
        </is>
      </c>
      <c r="D279" s="44" t="inlineStr">
        <is>
          <t>mobile</t>
        </is>
      </c>
      <c r="E279" s="45" t="n">
        <v>313.2</v>
      </c>
      <c r="F279" s="45" t="n">
        <v>388.7</v>
      </c>
    </row>
    <row r="280">
      <c r="A280" s="44" t="inlineStr">
        <is>
          <t>P113</t>
        </is>
      </c>
      <c r="B280" s="44" t="inlineStr">
        <is>
          <t>mobile_app</t>
        </is>
      </c>
      <c r="C280" s="44" t="inlineStr">
        <is>
          <t>medium</t>
        </is>
      </c>
      <c r="D280" s="44" t="inlineStr">
        <is>
          <t>be</t>
        </is>
      </c>
      <c r="E280" s="45" t="n">
        <v>39.2</v>
      </c>
      <c r="F280" s="45" t="n">
        <v>46.6</v>
      </c>
    </row>
    <row r="281">
      <c r="A281" s="44" t="inlineStr">
        <is>
          <t>P113</t>
        </is>
      </c>
      <c r="B281" s="44" t="inlineStr">
        <is>
          <t>mobile_app</t>
        </is>
      </c>
      <c r="C281" s="44" t="inlineStr">
        <is>
          <t>medium</t>
        </is>
      </c>
      <c r="D281" s="44" t="inlineStr">
        <is>
          <t>qa</t>
        </is>
      </c>
      <c r="E281" s="45" t="n">
        <v>117.5</v>
      </c>
      <c r="F281" s="45" t="n">
        <v>139.1</v>
      </c>
    </row>
    <row r="282">
      <c r="A282" s="44" t="inlineStr">
        <is>
          <t>P113</t>
        </is>
      </c>
      <c r="B282" s="44" t="inlineStr">
        <is>
          <t>realtime</t>
        </is>
      </c>
      <c r="C282" s="44" t="inlineStr">
        <is>
          <t>high</t>
        </is>
      </c>
      <c r="D282" s="44" t="inlineStr">
        <is>
          <t>fe</t>
        </is>
      </c>
      <c r="E282" s="45" t="n">
        <v>55.3</v>
      </c>
      <c r="F282" s="45" t="n">
        <v>71.09999999999999</v>
      </c>
    </row>
    <row r="283">
      <c r="A283" s="44" t="inlineStr">
        <is>
          <t>P113</t>
        </is>
      </c>
      <c r="B283" s="44" t="inlineStr">
        <is>
          <t>realtime</t>
        </is>
      </c>
      <c r="C283" s="44" t="inlineStr">
        <is>
          <t>high</t>
        </is>
      </c>
      <c r="D283" s="44" t="inlineStr">
        <is>
          <t>be</t>
        </is>
      </c>
      <c r="E283" s="45" t="n">
        <v>110.5</v>
      </c>
      <c r="F283" s="45" t="n">
        <v>148.8</v>
      </c>
    </row>
    <row r="284">
      <c r="A284" s="44" t="inlineStr">
        <is>
          <t>P113</t>
        </is>
      </c>
      <c r="B284" s="44" t="inlineStr">
        <is>
          <t>realtime</t>
        </is>
      </c>
      <c r="C284" s="44" t="inlineStr">
        <is>
          <t>high</t>
        </is>
      </c>
      <c r="D284" s="44" t="inlineStr">
        <is>
          <t>devops</t>
        </is>
      </c>
      <c r="E284" s="45" t="n">
        <v>22.1</v>
      </c>
      <c r="F284" s="45" t="n">
        <v>28.3</v>
      </c>
    </row>
    <row r="285">
      <c r="A285" s="44" t="inlineStr">
        <is>
          <t>P113</t>
        </is>
      </c>
      <c r="B285" s="44" t="inlineStr">
        <is>
          <t>realtime</t>
        </is>
      </c>
      <c r="C285" s="44" t="inlineStr">
        <is>
          <t>high</t>
        </is>
      </c>
      <c r="D285" s="44" t="inlineStr">
        <is>
          <t>qa</t>
        </is>
      </c>
      <c r="E285" s="45" t="n">
        <v>44.2</v>
      </c>
      <c r="F285" s="45" t="n">
        <v>47.5</v>
      </c>
    </row>
    <row r="286">
      <c r="A286" s="44" t="inlineStr">
        <is>
          <t>P113</t>
        </is>
      </c>
      <c r="B286" s="44" t="inlineStr">
        <is>
          <t>cms</t>
        </is>
      </c>
      <c r="C286" s="44" t="inlineStr">
        <is>
          <t>medium</t>
        </is>
      </c>
      <c r="D286" s="44" t="inlineStr">
        <is>
          <t>uiux</t>
        </is>
      </c>
      <c r="E286" s="45" t="n">
        <v>18.1</v>
      </c>
      <c r="F286" s="45" t="n">
        <v>22.9</v>
      </c>
    </row>
    <row r="287">
      <c r="A287" s="44" t="inlineStr">
        <is>
          <t>P113</t>
        </is>
      </c>
      <c r="B287" s="44" t="inlineStr">
        <is>
          <t>cms</t>
        </is>
      </c>
      <c r="C287" s="44" t="inlineStr">
        <is>
          <t>medium</t>
        </is>
      </c>
      <c r="D287" s="44" t="inlineStr">
        <is>
          <t>fe</t>
        </is>
      </c>
      <c r="E287" s="45" t="n">
        <v>54.2</v>
      </c>
      <c r="F287" s="45" t="n">
        <v>65.5</v>
      </c>
    </row>
    <row r="288">
      <c r="A288" s="44" t="inlineStr">
        <is>
          <t>P113</t>
        </is>
      </c>
      <c r="B288" s="44" t="inlineStr">
        <is>
          <t>cms</t>
        </is>
      </c>
      <c r="C288" s="44" t="inlineStr">
        <is>
          <t>medium</t>
        </is>
      </c>
      <c r="D288" s="44" t="inlineStr">
        <is>
          <t>be</t>
        </is>
      </c>
      <c r="E288" s="45" t="n">
        <v>45.1</v>
      </c>
      <c r="F288" s="45" t="n">
        <v>63.4</v>
      </c>
    </row>
    <row r="289">
      <c r="A289" s="44" t="inlineStr">
        <is>
          <t>P113</t>
        </is>
      </c>
      <c r="B289" s="44" t="inlineStr">
        <is>
          <t>cms</t>
        </is>
      </c>
      <c r="C289" s="44" t="inlineStr">
        <is>
          <t>medium</t>
        </is>
      </c>
      <c r="D289" s="44" t="inlineStr">
        <is>
          <t>qa</t>
        </is>
      </c>
      <c r="E289" s="45" t="n">
        <v>22.6</v>
      </c>
      <c r="F289" s="45" t="n">
        <v>25.8</v>
      </c>
    </row>
    <row r="290">
      <c r="A290" s="44" t="inlineStr">
        <is>
          <t>P113</t>
        </is>
      </c>
      <c r="B290" s="44" t="inlineStr">
        <is>
          <t>cloud_infra</t>
        </is>
      </c>
      <c r="C290" s="44" t="inlineStr">
        <is>
          <t>medium</t>
        </is>
      </c>
      <c r="D290" s="44" t="inlineStr">
        <is>
          <t>be</t>
        </is>
      </c>
      <c r="E290" s="45" t="n">
        <v>15.8</v>
      </c>
      <c r="F290" s="45" t="n">
        <v>19.8</v>
      </c>
    </row>
    <row r="291">
      <c r="A291" s="44" t="inlineStr">
        <is>
          <t>P113</t>
        </is>
      </c>
      <c r="B291" s="44" t="inlineStr">
        <is>
          <t>cloud_infra</t>
        </is>
      </c>
      <c r="C291" s="44" t="inlineStr">
        <is>
          <t>medium</t>
        </is>
      </c>
      <c r="D291" s="44" t="inlineStr">
        <is>
          <t>devops</t>
        </is>
      </c>
      <c r="E291" s="45" t="n">
        <v>79.09999999999999</v>
      </c>
      <c r="F291" s="45" t="n">
        <v>85.40000000000001</v>
      </c>
    </row>
    <row r="292">
      <c r="A292" s="44" t="inlineStr">
        <is>
          <t>P113</t>
        </is>
      </c>
      <c r="B292" s="44" t="inlineStr">
        <is>
          <t>management</t>
        </is>
      </c>
      <c r="C292" s="44" t="inlineStr">
        <is>
          <t>medium</t>
        </is>
      </c>
      <c r="D292" s="44" t="inlineStr">
        <is>
          <t>pm</t>
        </is>
      </c>
      <c r="E292" s="45" t="n">
        <v>99.59999999999999</v>
      </c>
      <c r="F292" s="45" t="n">
        <v>100.4</v>
      </c>
    </row>
    <row r="293">
      <c r="A293" s="44" t="inlineStr">
        <is>
          <t>P113</t>
        </is>
      </c>
      <c r="B293" s="44" t="inlineStr">
        <is>
          <t>management</t>
        </is>
      </c>
      <c r="C293" s="44" t="inlineStr">
        <is>
          <t>medium</t>
        </is>
      </c>
      <c r="D293" s="44" t="inlineStr">
        <is>
          <t>lead</t>
        </is>
      </c>
      <c r="E293" s="45" t="n">
        <v>59.7</v>
      </c>
      <c r="F293" s="45" t="n">
        <v>69.8</v>
      </c>
    </row>
    <row r="294">
      <c r="A294" s="44" t="inlineStr">
        <is>
          <t>P114</t>
        </is>
      </c>
      <c r="B294" s="44" t="inlineStr">
        <is>
          <t>realtime</t>
        </is>
      </c>
      <c r="C294" s="44" t="inlineStr">
        <is>
          <t>high</t>
        </is>
      </c>
      <c r="D294" s="44" t="inlineStr">
        <is>
          <t>fe</t>
        </is>
      </c>
      <c r="E294" s="45" t="n">
        <v>68.2</v>
      </c>
      <c r="F294" s="45" t="n">
        <v>79.09999999999999</v>
      </c>
    </row>
    <row r="295">
      <c r="A295" s="44" t="inlineStr">
        <is>
          <t>P114</t>
        </is>
      </c>
      <c r="B295" s="44" t="inlineStr">
        <is>
          <t>realtime</t>
        </is>
      </c>
      <c r="C295" s="44" t="inlineStr">
        <is>
          <t>high</t>
        </is>
      </c>
      <c r="D295" s="44" t="inlineStr">
        <is>
          <t>be</t>
        </is>
      </c>
      <c r="E295" s="45" t="n">
        <v>136.4</v>
      </c>
      <c r="F295" s="45" t="n">
        <v>156.2</v>
      </c>
    </row>
    <row r="296">
      <c r="A296" s="44" t="inlineStr">
        <is>
          <t>P114</t>
        </is>
      </c>
      <c r="B296" s="44" t="inlineStr">
        <is>
          <t>realtime</t>
        </is>
      </c>
      <c r="C296" s="44" t="inlineStr">
        <is>
          <t>high</t>
        </is>
      </c>
      <c r="D296" s="44" t="inlineStr">
        <is>
          <t>devops</t>
        </is>
      </c>
      <c r="E296" s="45" t="n">
        <v>27.3</v>
      </c>
      <c r="F296" s="45" t="n">
        <v>36.9</v>
      </c>
    </row>
    <row r="297">
      <c r="A297" s="44" t="inlineStr">
        <is>
          <t>P114</t>
        </is>
      </c>
      <c r="B297" s="44" t="inlineStr">
        <is>
          <t>realtime</t>
        </is>
      </c>
      <c r="C297" s="44" t="inlineStr">
        <is>
          <t>high</t>
        </is>
      </c>
      <c r="D297" s="44" t="inlineStr">
        <is>
          <t>qa</t>
        </is>
      </c>
      <c r="E297" s="45" t="n">
        <v>54.5</v>
      </c>
      <c r="F297" s="45" t="n">
        <v>50.8</v>
      </c>
    </row>
    <row r="298">
      <c r="A298" s="44" t="inlineStr">
        <is>
          <t>P114</t>
        </is>
      </c>
      <c r="B298" s="44" t="inlineStr">
        <is>
          <t>web_portal</t>
        </is>
      </c>
      <c r="C298" s="44" t="inlineStr">
        <is>
          <t>low</t>
        </is>
      </c>
      <c r="D298" s="44" t="inlineStr">
        <is>
          <t>ba</t>
        </is>
      </c>
      <c r="E298" s="45" t="n">
        <v>10.9</v>
      </c>
      <c r="F298" s="45" t="n">
        <v>12.6</v>
      </c>
    </row>
    <row r="299">
      <c r="A299" s="44" t="inlineStr">
        <is>
          <t>P114</t>
        </is>
      </c>
      <c r="B299" s="44" t="inlineStr">
        <is>
          <t>web_portal</t>
        </is>
      </c>
      <c r="C299" s="44" t="inlineStr">
        <is>
          <t>low</t>
        </is>
      </c>
      <c r="D299" s="44" t="inlineStr">
        <is>
          <t>uiux</t>
        </is>
      </c>
      <c r="E299" s="45" t="n">
        <v>41</v>
      </c>
      <c r="F299" s="45" t="n">
        <v>48.8</v>
      </c>
    </row>
    <row r="300">
      <c r="A300" s="44" t="inlineStr">
        <is>
          <t>P114</t>
        </is>
      </c>
      <c r="B300" s="44" t="inlineStr">
        <is>
          <t>web_portal</t>
        </is>
      </c>
      <c r="C300" s="44" t="inlineStr">
        <is>
          <t>low</t>
        </is>
      </c>
      <c r="D300" s="44" t="inlineStr">
        <is>
          <t>fe</t>
        </is>
      </c>
      <c r="E300" s="45" t="n">
        <v>109.3</v>
      </c>
      <c r="F300" s="45" t="n">
        <v>119.5</v>
      </c>
    </row>
    <row r="301">
      <c r="A301" s="44" t="inlineStr">
        <is>
          <t>P114</t>
        </is>
      </c>
      <c r="B301" s="44" t="inlineStr">
        <is>
          <t>web_portal</t>
        </is>
      </c>
      <c r="C301" s="44" t="inlineStr">
        <is>
          <t>low</t>
        </is>
      </c>
      <c r="D301" s="44" t="inlineStr">
        <is>
          <t>qa</t>
        </is>
      </c>
      <c r="E301" s="45" t="n">
        <v>27.3</v>
      </c>
      <c r="F301" s="45" t="n">
        <v>31.4</v>
      </c>
    </row>
    <row r="302">
      <c r="A302" s="44" t="inlineStr">
        <is>
          <t>P114</t>
        </is>
      </c>
      <c r="B302" s="44" t="inlineStr">
        <is>
          <t>reporting</t>
        </is>
      </c>
      <c r="C302" s="44" t="inlineStr">
        <is>
          <t>low</t>
        </is>
      </c>
      <c r="D302" s="44" t="inlineStr">
        <is>
          <t>uiux</t>
        </is>
      </c>
      <c r="E302" s="45" t="n">
        <v>10.5</v>
      </c>
      <c r="F302" s="45" t="n">
        <v>12.9</v>
      </c>
    </row>
    <row r="303">
      <c r="A303" s="44" t="inlineStr">
        <is>
          <t>P114</t>
        </is>
      </c>
      <c r="B303" s="44" t="inlineStr">
        <is>
          <t>reporting</t>
        </is>
      </c>
      <c r="C303" s="44" t="inlineStr">
        <is>
          <t>low</t>
        </is>
      </c>
      <c r="D303" s="44" t="inlineStr">
        <is>
          <t>fe</t>
        </is>
      </c>
      <c r="E303" s="45" t="n">
        <v>36.8</v>
      </c>
      <c r="F303" s="45" t="n">
        <v>41.2</v>
      </c>
    </row>
    <row r="304">
      <c r="A304" s="44" t="inlineStr">
        <is>
          <t>P114</t>
        </is>
      </c>
      <c r="B304" s="44" t="inlineStr">
        <is>
          <t>reporting</t>
        </is>
      </c>
      <c r="C304" s="44" t="inlineStr">
        <is>
          <t>low</t>
        </is>
      </c>
      <c r="D304" s="44" t="inlineStr">
        <is>
          <t>be</t>
        </is>
      </c>
      <c r="E304" s="45" t="n">
        <v>26.3</v>
      </c>
      <c r="F304" s="45" t="n">
        <v>32.2</v>
      </c>
    </row>
    <row r="305">
      <c r="A305" s="44" t="inlineStr">
        <is>
          <t>P114</t>
        </is>
      </c>
      <c r="B305" s="44" t="inlineStr">
        <is>
          <t>reporting</t>
        </is>
      </c>
      <c r="C305" s="44" t="inlineStr">
        <is>
          <t>low</t>
        </is>
      </c>
      <c r="D305" s="44" t="inlineStr">
        <is>
          <t>data</t>
        </is>
      </c>
      <c r="E305" s="45" t="n">
        <v>26.3</v>
      </c>
      <c r="F305" s="45" t="n">
        <v>32.2</v>
      </c>
    </row>
    <row r="306">
      <c r="A306" s="44" t="inlineStr">
        <is>
          <t>P114</t>
        </is>
      </c>
      <c r="B306" s="44" t="inlineStr">
        <is>
          <t>reporting</t>
        </is>
      </c>
      <c r="C306" s="44" t="inlineStr">
        <is>
          <t>low</t>
        </is>
      </c>
      <c r="D306" s="44" t="inlineStr">
        <is>
          <t>qa</t>
        </is>
      </c>
      <c r="E306" s="45" t="n">
        <v>15.8</v>
      </c>
      <c r="F306" s="45" t="n">
        <v>19.9</v>
      </c>
    </row>
    <row r="307">
      <c r="A307" s="44" t="inlineStr">
        <is>
          <t>P114</t>
        </is>
      </c>
      <c r="B307" s="44" t="inlineStr">
        <is>
          <t>cloud_infra</t>
        </is>
      </c>
      <c r="C307" s="44" t="inlineStr">
        <is>
          <t>high</t>
        </is>
      </c>
      <c r="D307" s="44" t="inlineStr">
        <is>
          <t>be</t>
        </is>
      </c>
      <c r="E307" s="45" t="n">
        <v>28.9</v>
      </c>
      <c r="F307" s="45" t="n">
        <v>38.2</v>
      </c>
    </row>
    <row r="308">
      <c r="A308" s="44" t="inlineStr">
        <is>
          <t>P114</t>
        </is>
      </c>
      <c r="B308" s="44" t="inlineStr">
        <is>
          <t>cloud_infra</t>
        </is>
      </c>
      <c r="C308" s="44" t="inlineStr">
        <is>
          <t>high</t>
        </is>
      </c>
      <c r="D308" s="44" t="inlineStr">
        <is>
          <t>devops</t>
        </is>
      </c>
      <c r="E308" s="45" t="n">
        <v>144.5</v>
      </c>
      <c r="F308" s="45" t="n">
        <v>163</v>
      </c>
    </row>
    <row r="309">
      <c r="A309" s="44" t="inlineStr">
        <is>
          <t>P114</t>
        </is>
      </c>
      <c r="B309" s="44" t="inlineStr">
        <is>
          <t>management</t>
        </is>
      </c>
      <c r="C309" s="44" t="inlineStr">
        <is>
          <t>medium</t>
        </is>
      </c>
      <c r="D309" s="44" t="inlineStr">
        <is>
          <t>pm</t>
        </is>
      </c>
      <c r="E309" s="45" t="n">
        <v>76.40000000000001</v>
      </c>
      <c r="F309" s="45" t="n">
        <v>84</v>
      </c>
    </row>
    <row r="310">
      <c r="A310" s="44" t="inlineStr">
        <is>
          <t>P114</t>
        </is>
      </c>
      <c r="B310" s="44" t="inlineStr">
        <is>
          <t>management</t>
        </is>
      </c>
      <c r="C310" s="44" t="inlineStr">
        <is>
          <t>medium</t>
        </is>
      </c>
      <c r="D310" s="44" t="inlineStr">
        <is>
          <t>lead</t>
        </is>
      </c>
      <c r="E310" s="45" t="n">
        <v>45.8</v>
      </c>
      <c r="F310" s="45" t="n">
        <v>46.4</v>
      </c>
    </row>
    <row r="311">
      <c r="A311" s="44" t="inlineStr">
        <is>
          <t>P115</t>
        </is>
      </c>
      <c r="B311" s="44" t="inlineStr">
        <is>
          <t>search</t>
        </is>
      </c>
      <c r="C311" s="44" t="inlineStr">
        <is>
          <t>high</t>
        </is>
      </c>
      <c r="D311" s="44" t="inlineStr">
        <is>
          <t>fe</t>
        </is>
      </c>
      <c r="E311" s="45" t="n">
        <v>64.59999999999999</v>
      </c>
      <c r="F311" s="45" t="n">
        <v>78.7</v>
      </c>
    </row>
    <row r="312">
      <c r="A312" s="44" t="inlineStr">
        <is>
          <t>P115</t>
        </is>
      </c>
      <c r="B312" s="44" t="inlineStr">
        <is>
          <t>search</t>
        </is>
      </c>
      <c r="C312" s="44" t="inlineStr">
        <is>
          <t>high</t>
        </is>
      </c>
      <c r="D312" s="44" t="inlineStr">
        <is>
          <t>be</t>
        </is>
      </c>
      <c r="E312" s="45" t="n">
        <v>90.40000000000001</v>
      </c>
      <c r="F312" s="45" t="n">
        <v>101.3</v>
      </c>
    </row>
    <row r="313">
      <c r="A313" s="44" t="inlineStr">
        <is>
          <t>P115</t>
        </is>
      </c>
      <c r="B313" s="44" t="inlineStr">
        <is>
          <t>search</t>
        </is>
      </c>
      <c r="C313" s="44" t="inlineStr">
        <is>
          <t>high</t>
        </is>
      </c>
      <c r="D313" s="44" t="inlineStr">
        <is>
          <t>qa</t>
        </is>
      </c>
      <c r="E313" s="45" t="n">
        <v>32.3</v>
      </c>
      <c r="F313" s="45" t="n">
        <v>33.8</v>
      </c>
    </row>
    <row r="314">
      <c r="A314" s="44" t="inlineStr">
        <is>
          <t>P115</t>
        </is>
      </c>
      <c r="B314" s="44" t="inlineStr">
        <is>
          <t>etl</t>
        </is>
      </c>
      <c r="C314" s="44" t="inlineStr">
        <is>
          <t>high</t>
        </is>
      </c>
      <c r="D314" s="44" t="inlineStr">
        <is>
          <t>be</t>
        </is>
      </c>
      <c r="E314" s="45" t="n">
        <v>37.5</v>
      </c>
      <c r="F314" s="45" t="n">
        <v>44.8</v>
      </c>
    </row>
    <row r="315">
      <c r="A315" s="44" t="inlineStr">
        <is>
          <t>P115</t>
        </is>
      </c>
      <c r="B315" s="44" t="inlineStr">
        <is>
          <t>etl</t>
        </is>
      </c>
      <c r="C315" s="44" t="inlineStr">
        <is>
          <t>high</t>
        </is>
      </c>
      <c r="D315" s="44" t="inlineStr">
        <is>
          <t>data</t>
        </is>
      </c>
      <c r="E315" s="45" t="n">
        <v>187.7</v>
      </c>
      <c r="F315" s="45" t="n">
        <v>192.8</v>
      </c>
    </row>
    <row r="316">
      <c r="A316" s="44" t="inlineStr">
        <is>
          <t>P115</t>
        </is>
      </c>
      <c r="B316" s="44" t="inlineStr">
        <is>
          <t>etl</t>
        </is>
      </c>
      <c r="C316" s="44" t="inlineStr">
        <is>
          <t>high</t>
        </is>
      </c>
      <c r="D316" s="44" t="inlineStr">
        <is>
          <t>devops</t>
        </is>
      </c>
      <c r="E316" s="45" t="n">
        <v>25</v>
      </c>
      <c r="F316" s="45" t="n">
        <v>25.3</v>
      </c>
    </row>
    <row r="317">
      <c r="A317" s="44" t="inlineStr">
        <is>
          <t>P115</t>
        </is>
      </c>
      <c r="B317" s="44" t="inlineStr">
        <is>
          <t>etl</t>
        </is>
      </c>
      <c r="C317" s="44" t="inlineStr">
        <is>
          <t>high</t>
        </is>
      </c>
      <c r="D317" s="44" t="inlineStr">
        <is>
          <t>qa</t>
        </is>
      </c>
      <c r="E317" s="45" t="n">
        <v>37.5</v>
      </c>
      <c r="F317" s="45" t="n">
        <v>42.8</v>
      </c>
    </row>
    <row r="318">
      <c r="A318" s="44" t="inlineStr">
        <is>
          <t>P115</t>
        </is>
      </c>
      <c r="B318" s="44" t="inlineStr">
        <is>
          <t>web_portal</t>
        </is>
      </c>
      <c r="C318" s="44" t="inlineStr">
        <is>
          <t>medium</t>
        </is>
      </c>
      <c r="D318" s="44" t="inlineStr">
        <is>
          <t>ba</t>
        </is>
      </c>
      <c r="E318" s="45" t="n">
        <v>15.3</v>
      </c>
      <c r="F318" s="45" t="n">
        <v>16.7</v>
      </c>
    </row>
    <row r="319">
      <c r="A319" s="44" t="inlineStr">
        <is>
          <t>P115</t>
        </is>
      </c>
      <c r="B319" s="44" t="inlineStr">
        <is>
          <t>web_portal</t>
        </is>
      </c>
      <c r="C319" s="44" t="inlineStr">
        <is>
          <t>medium</t>
        </is>
      </c>
      <c r="D319" s="44" t="inlineStr">
        <is>
          <t>uiux</t>
        </is>
      </c>
      <c r="E319" s="45" t="n">
        <v>57.3</v>
      </c>
      <c r="F319" s="45" t="n">
        <v>63</v>
      </c>
    </row>
    <row r="320">
      <c r="A320" s="44" t="inlineStr">
        <is>
          <t>P115</t>
        </is>
      </c>
      <c r="B320" s="44" t="inlineStr">
        <is>
          <t>web_portal</t>
        </is>
      </c>
      <c r="C320" s="44" t="inlineStr">
        <is>
          <t>medium</t>
        </is>
      </c>
      <c r="D320" s="44" t="inlineStr">
        <is>
          <t>fe</t>
        </is>
      </c>
      <c r="E320" s="45" t="n">
        <v>152.7</v>
      </c>
      <c r="F320" s="45" t="n">
        <v>156.8</v>
      </c>
    </row>
    <row r="321">
      <c r="A321" s="44" t="inlineStr">
        <is>
          <t>P115</t>
        </is>
      </c>
      <c r="B321" s="44" t="inlineStr">
        <is>
          <t>web_portal</t>
        </is>
      </c>
      <c r="C321" s="44" t="inlineStr">
        <is>
          <t>medium</t>
        </is>
      </c>
      <c r="D321" s="44" t="inlineStr">
        <is>
          <t>qa</t>
        </is>
      </c>
      <c r="E321" s="45" t="n">
        <v>38.2</v>
      </c>
      <c r="F321" s="45" t="n">
        <v>45.6</v>
      </c>
    </row>
    <row r="322">
      <c r="A322" s="44" t="inlineStr">
        <is>
          <t>P115</t>
        </is>
      </c>
      <c r="B322" s="44" t="inlineStr">
        <is>
          <t>compliance</t>
        </is>
      </c>
      <c r="C322" s="44" t="inlineStr">
        <is>
          <t>high</t>
        </is>
      </c>
      <c r="D322" s="44" t="inlineStr">
        <is>
          <t>ba</t>
        </is>
      </c>
      <c r="E322" s="45" t="n">
        <v>22.6</v>
      </c>
      <c r="F322" s="45" t="n">
        <v>26.6</v>
      </c>
    </row>
    <row r="323">
      <c r="A323" s="44" t="inlineStr">
        <is>
          <t>P115</t>
        </is>
      </c>
      <c r="B323" s="44" t="inlineStr">
        <is>
          <t>compliance</t>
        </is>
      </c>
      <c r="C323" s="44" t="inlineStr">
        <is>
          <t>high</t>
        </is>
      </c>
      <c r="D323" s="44" t="inlineStr">
        <is>
          <t>be</t>
        </is>
      </c>
      <c r="E323" s="45" t="n">
        <v>90.5</v>
      </c>
      <c r="F323" s="45" t="n">
        <v>100.8</v>
      </c>
    </row>
    <row r="324">
      <c r="A324" s="44" t="inlineStr">
        <is>
          <t>P115</t>
        </is>
      </c>
      <c r="B324" s="44" t="inlineStr">
        <is>
          <t>compliance</t>
        </is>
      </c>
      <c r="C324" s="44" t="inlineStr">
        <is>
          <t>high</t>
        </is>
      </c>
      <c r="D324" s="44" t="inlineStr">
        <is>
          <t>devops</t>
        </is>
      </c>
      <c r="E324" s="45" t="n">
        <v>33.9</v>
      </c>
      <c r="F324" s="45" t="n">
        <v>37.8</v>
      </c>
    </row>
    <row r="325">
      <c r="A325" s="44" t="inlineStr">
        <is>
          <t>P115</t>
        </is>
      </c>
      <c r="B325" s="44" t="inlineStr">
        <is>
          <t>compliance</t>
        </is>
      </c>
      <c r="C325" s="44" t="inlineStr">
        <is>
          <t>high</t>
        </is>
      </c>
      <c r="D325" s="44" t="inlineStr">
        <is>
          <t>qa</t>
        </is>
      </c>
      <c r="E325" s="45" t="n">
        <v>33.9</v>
      </c>
      <c r="F325" s="45" t="n">
        <v>40.1</v>
      </c>
    </row>
    <row r="326">
      <c r="A326" s="44" t="inlineStr">
        <is>
          <t>P115</t>
        </is>
      </c>
      <c r="B326" s="44" t="inlineStr">
        <is>
          <t>geo</t>
        </is>
      </c>
      <c r="C326" s="44" t="inlineStr">
        <is>
          <t>medium</t>
        </is>
      </c>
      <c r="D326" s="44" t="inlineStr">
        <is>
          <t>fe</t>
        </is>
      </c>
      <c r="E326" s="45" t="n">
        <v>34.3</v>
      </c>
      <c r="F326" s="45" t="n">
        <v>38.1</v>
      </c>
    </row>
    <row r="327">
      <c r="A327" s="44" t="inlineStr">
        <is>
          <t>P115</t>
        </is>
      </c>
      <c r="B327" s="44" t="inlineStr">
        <is>
          <t>geo</t>
        </is>
      </c>
      <c r="C327" s="44" t="inlineStr">
        <is>
          <t>medium</t>
        </is>
      </c>
      <c r="D327" s="44" t="inlineStr">
        <is>
          <t>be</t>
        </is>
      </c>
      <c r="E327" s="45" t="n">
        <v>48</v>
      </c>
      <c r="F327" s="45" t="n">
        <v>59.3</v>
      </c>
    </row>
    <row r="328">
      <c r="A328" s="44" t="inlineStr">
        <is>
          <t>P115</t>
        </is>
      </c>
      <c r="B328" s="44" t="inlineStr">
        <is>
          <t>geo</t>
        </is>
      </c>
      <c r="C328" s="44" t="inlineStr">
        <is>
          <t>medium</t>
        </is>
      </c>
      <c r="D328" s="44" t="inlineStr">
        <is>
          <t>mobile</t>
        </is>
      </c>
      <c r="E328" s="45" t="n">
        <v>34.3</v>
      </c>
      <c r="F328" s="45" t="n">
        <v>38.9</v>
      </c>
    </row>
    <row r="329">
      <c r="A329" s="44" t="inlineStr">
        <is>
          <t>P115</t>
        </is>
      </c>
      <c r="B329" s="44" t="inlineStr">
        <is>
          <t>geo</t>
        </is>
      </c>
      <c r="C329" s="44" t="inlineStr">
        <is>
          <t>medium</t>
        </is>
      </c>
      <c r="D329" s="44" t="inlineStr">
        <is>
          <t>qa</t>
        </is>
      </c>
      <c r="E329" s="45" t="n">
        <v>20.6</v>
      </c>
      <c r="F329" s="45" t="n">
        <v>25</v>
      </c>
    </row>
    <row r="330">
      <c r="A330" s="44" t="inlineStr">
        <is>
          <t>P115</t>
        </is>
      </c>
      <c r="B330" s="44" t="inlineStr">
        <is>
          <t>management</t>
        </is>
      </c>
      <c r="C330" s="44" t="inlineStr">
        <is>
          <t>medium</t>
        </is>
      </c>
      <c r="D330" s="44" t="inlineStr">
        <is>
          <t>pm</t>
        </is>
      </c>
      <c r="E330" s="45" t="n">
        <v>105.7</v>
      </c>
      <c r="F330" s="45" t="n">
        <v>113.1</v>
      </c>
    </row>
    <row r="331">
      <c r="A331" s="44" t="inlineStr">
        <is>
          <t>P115</t>
        </is>
      </c>
      <c r="B331" s="44" t="inlineStr">
        <is>
          <t>management</t>
        </is>
      </c>
      <c r="C331" s="44" t="inlineStr">
        <is>
          <t>medium</t>
        </is>
      </c>
      <c r="D331" s="44" t="inlineStr">
        <is>
          <t>lead</t>
        </is>
      </c>
      <c r="E331" s="45" t="n">
        <v>63.4</v>
      </c>
      <c r="F331" s="45" t="n">
        <v>69.40000000000001</v>
      </c>
    </row>
    <row r="332">
      <c r="A332" s="44" t="inlineStr">
        <is>
          <t>P116</t>
        </is>
      </c>
      <c r="B332" s="44" t="inlineStr">
        <is>
          <t>migration</t>
        </is>
      </c>
      <c r="C332" s="44" t="inlineStr">
        <is>
          <t>high</t>
        </is>
      </c>
      <c r="D332" s="44" t="inlineStr">
        <is>
          <t>ba</t>
        </is>
      </c>
      <c r="E332" s="45" t="n">
        <v>27</v>
      </c>
      <c r="F332" s="45" t="n">
        <v>37.9</v>
      </c>
    </row>
    <row r="333">
      <c r="A333" s="44" t="inlineStr">
        <is>
          <t>P116</t>
        </is>
      </c>
      <c r="B333" s="44" t="inlineStr">
        <is>
          <t>migration</t>
        </is>
      </c>
      <c r="C333" s="44" t="inlineStr">
        <is>
          <t>high</t>
        </is>
      </c>
      <c r="D333" s="44" t="inlineStr">
        <is>
          <t>be</t>
        </is>
      </c>
      <c r="E333" s="45" t="n">
        <v>67.40000000000001</v>
      </c>
      <c r="F333" s="45" t="n">
        <v>87.2</v>
      </c>
    </row>
    <row r="334">
      <c r="A334" s="44" t="inlineStr">
        <is>
          <t>P116</t>
        </is>
      </c>
      <c r="B334" s="44" t="inlineStr">
        <is>
          <t>migration</t>
        </is>
      </c>
      <c r="C334" s="44" t="inlineStr">
        <is>
          <t>high</t>
        </is>
      </c>
      <c r="D334" s="44" t="inlineStr">
        <is>
          <t>data</t>
        </is>
      </c>
      <c r="E334" s="45" t="n">
        <v>107.8</v>
      </c>
      <c r="F334" s="45" t="n">
        <v>140</v>
      </c>
    </row>
    <row r="335">
      <c r="A335" s="44" t="inlineStr">
        <is>
          <t>P116</t>
        </is>
      </c>
      <c r="B335" s="44" t="inlineStr">
        <is>
          <t>migration</t>
        </is>
      </c>
      <c r="C335" s="44" t="inlineStr">
        <is>
          <t>high</t>
        </is>
      </c>
      <c r="D335" s="44" t="inlineStr">
        <is>
          <t>qa</t>
        </is>
      </c>
      <c r="E335" s="45" t="n">
        <v>53.9</v>
      </c>
      <c r="F335" s="45" t="n">
        <v>67.3</v>
      </c>
    </row>
    <row r="336">
      <c r="A336" s="44" t="inlineStr">
        <is>
          <t>P116</t>
        </is>
      </c>
      <c r="B336" s="44" t="inlineStr">
        <is>
          <t>etl</t>
        </is>
      </c>
      <c r="C336" s="44" t="inlineStr">
        <is>
          <t>medium</t>
        </is>
      </c>
      <c r="D336" s="44" t="inlineStr">
        <is>
          <t>be</t>
        </is>
      </c>
      <c r="E336" s="45" t="n">
        <v>20.9</v>
      </c>
      <c r="F336" s="45" t="n">
        <v>28.5</v>
      </c>
    </row>
    <row r="337">
      <c r="A337" s="44" t="inlineStr">
        <is>
          <t>P116</t>
        </is>
      </c>
      <c r="B337" s="44" t="inlineStr">
        <is>
          <t>etl</t>
        </is>
      </c>
      <c r="C337" s="44" t="inlineStr">
        <is>
          <t>medium</t>
        </is>
      </c>
      <c r="D337" s="44" t="inlineStr">
        <is>
          <t>data</t>
        </is>
      </c>
      <c r="E337" s="45" t="n">
        <v>104.7</v>
      </c>
      <c r="F337" s="45" t="n">
        <v>133</v>
      </c>
    </row>
    <row r="338">
      <c r="A338" s="44" t="inlineStr">
        <is>
          <t>P116</t>
        </is>
      </c>
      <c r="B338" s="44" t="inlineStr">
        <is>
          <t>etl</t>
        </is>
      </c>
      <c r="C338" s="44" t="inlineStr">
        <is>
          <t>medium</t>
        </is>
      </c>
      <c r="D338" s="44" t="inlineStr">
        <is>
          <t>devops</t>
        </is>
      </c>
      <c r="E338" s="45" t="n">
        <v>14</v>
      </c>
      <c r="F338" s="45" t="n">
        <v>20.2</v>
      </c>
    </row>
    <row r="339">
      <c r="A339" s="44" t="inlineStr">
        <is>
          <t>P116</t>
        </is>
      </c>
      <c r="B339" s="44" t="inlineStr">
        <is>
          <t>etl</t>
        </is>
      </c>
      <c r="C339" s="44" t="inlineStr">
        <is>
          <t>medium</t>
        </is>
      </c>
      <c r="D339" s="44" t="inlineStr">
        <is>
          <t>qa</t>
        </is>
      </c>
      <c r="E339" s="45" t="n">
        <v>20.9</v>
      </c>
      <c r="F339" s="45" t="n">
        <v>26.8</v>
      </c>
    </row>
    <row r="340">
      <c r="A340" s="44" t="inlineStr">
        <is>
          <t>P116</t>
        </is>
      </c>
      <c r="B340" s="44" t="inlineStr">
        <is>
          <t>integration</t>
        </is>
      </c>
      <c r="C340" s="44" t="inlineStr">
        <is>
          <t>medium</t>
        </is>
      </c>
      <c r="D340" s="44" t="inlineStr">
        <is>
          <t>ba</t>
        </is>
      </c>
      <c r="E340" s="45" t="n">
        <v>12.1</v>
      </c>
      <c r="F340" s="45" t="n">
        <v>16</v>
      </c>
    </row>
    <row r="341">
      <c r="A341" s="44" t="inlineStr">
        <is>
          <t>P116</t>
        </is>
      </c>
      <c r="B341" s="44" t="inlineStr">
        <is>
          <t>integration</t>
        </is>
      </c>
      <c r="C341" s="44" t="inlineStr">
        <is>
          <t>medium</t>
        </is>
      </c>
      <c r="D341" s="44" t="inlineStr">
        <is>
          <t>be</t>
        </is>
      </c>
      <c r="E341" s="45" t="n">
        <v>72.7</v>
      </c>
      <c r="F341" s="45" t="n">
        <v>100.2</v>
      </c>
    </row>
    <row r="342">
      <c r="A342" s="44" t="inlineStr">
        <is>
          <t>P116</t>
        </is>
      </c>
      <c r="B342" s="44" t="inlineStr">
        <is>
          <t>integration</t>
        </is>
      </c>
      <c r="C342" s="44" t="inlineStr">
        <is>
          <t>medium</t>
        </is>
      </c>
      <c r="D342" s="44" t="inlineStr">
        <is>
          <t>qa</t>
        </is>
      </c>
      <c r="E342" s="45" t="n">
        <v>24.2</v>
      </c>
      <c r="F342" s="45" t="n">
        <v>30.1</v>
      </c>
    </row>
    <row r="343">
      <c r="A343" s="44" t="inlineStr">
        <is>
          <t>P116</t>
        </is>
      </c>
      <c r="B343" s="44" t="inlineStr">
        <is>
          <t>cloud_infra</t>
        </is>
      </c>
      <c r="C343" s="44" t="inlineStr">
        <is>
          <t>medium</t>
        </is>
      </c>
      <c r="D343" s="44" t="inlineStr">
        <is>
          <t>be</t>
        </is>
      </c>
      <c r="E343" s="45" t="n">
        <v>17.3</v>
      </c>
      <c r="F343" s="45" t="n">
        <v>22</v>
      </c>
    </row>
    <row r="344">
      <c r="A344" s="44" t="inlineStr">
        <is>
          <t>P116</t>
        </is>
      </c>
      <c r="B344" s="44" t="inlineStr">
        <is>
          <t>cloud_infra</t>
        </is>
      </c>
      <c r="C344" s="44" t="inlineStr">
        <is>
          <t>medium</t>
        </is>
      </c>
      <c r="D344" s="44" t="inlineStr">
        <is>
          <t>devops</t>
        </is>
      </c>
      <c r="E344" s="45" t="n">
        <v>86.3</v>
      </c>
      <c r="F344" s="45" t="n">
        <v>105.7</v>
      </c>
    </row>
    <row r="345">
      <c r="A345" s="44" t="inlineStr">
        <is>
          <t>P116</t>
        </is>
      </c>
      <c r="B345" s="44" t="inlineStr">
        <is>
          <t>management</t>
        </is>
      </c>
      <c r="C345" s="44" t="inlineStr">
        <is>
          <t>medium</t>
        </is>
      </c>
      <c r="D345" s="44" t="inlineStr">
        <is>
          <t>pm</t>
        </is>
      </c>
      <c r="E345" s="45" t="n">
        <v>62.9</v>
      </c>
      <c r="F345" s="45" t="n">
        <v>74.8</v>
      </c>
    </row>
    <row r="346">
      <c r="A346" s="44" t="inlineStr">
        <is>
          <t>P116</t>
        </is>
      </c>
      <c r="B346" s="44" t="inlineStr">
        <is>
          <t>management</t>
        </is>
      </c>
      <c r="C346" s="44" t="inlineStr">
        <is>
          <t>medium</t>
        </is>
      </c>
      <c r="D346" s="44" t="inlineStr">
        <is>
          <t>lead</t>
        </is>
      </c>
      <c r="E346" s="45" t="n">
        <v>37.8</v>
      </c>
      <c r="F346" s="45" t="n">
        <v>40</v>
      </c>
    </row>
    <row r="347">
      <c r="A347" s="44" t="inlineStr">
        <is>
          <t>P117</t>
        </is>
      </c>
      <c r="B347" s="44" t="inlineStr">
        <is>
          <t>etl</t>
        </is>
      </c>
      <c r="C347" s="44" t="inlineStr">
        <is>
          <t>high</t>
        </is>
      </c>
      <c r="D347" s="44" t="inlineStr">
        <is>
          <t>be</t>
        </is>
      </c>
      <c r="E347" s="45" t="n">
        <v>33.7</v>
      </c>
      <c r="F347" s="45" t="n">
        <v>35.7</v>
      </c>
    </row>
    <row r="348">
      <c r="A348" s="44" t="inlineStr">
        <is>
          <t>P117</t>
        </is>
      </c>
      <c r="B348" s="44" t="inlineStr">
        <is>
          <t>etl</t>
        </is>
      </c>
      <c r="C348" s="44" t="inlineStr">
        <is>
          <t>high</t>
        </is>
      </c>
      <c r="D348" s="44" t="inlineStr">
        <is>
          <t>data</t>
        </is>
      </c>
      <c r="E348" s="45" t="n">
        <v>168.3</v>
      </c>
      <c r="F348" s="45" t="n">
        <v>174.2</v>
      </c>
    </row>
    <row r="349">
      <c r="A349" s="44" t="inlineStr">
        <is>
          <t>P117</t>
        </is>
      </c>
      <c r="B349" s="44" t="inlineStr">
        <is>
          <t>etl</t>
        </is>
      </c>
      <c r="C349" s="44" t="inlineStr">
        <is>
          <t>high</t>
        </is>
      </c>
      <c r="D349" s="44" t="inlineStr">
        <is>
          <t>devops</t>
        </is>
      </c>
      <c r="E349" s="45" t="n">
        <v>22.4</v>
      </c>
      <c r="F349" s="45" t="n">
        <v>22.8</v>
      </c>
    </row>
    <row r="350">
      <c r="A350" s="44" t="inlineStr">
        <is>
          <t>P117</t>
        </is>
      </c>
      <c r="B350" s="44" t="inlineStr">
        <is>
          <t>etl</t>
        </is>
      </c>
      <c r="C350" s="44" t="inlineStr">
        <is>
          <t>high</t>
        </is>
      </c>
      <c r="D350" s="44" t="inlineStr">
        <is>
          <t>qa</t>
        </is>
      </c>
      <c r="E350" s="45" t="n">
        <v>33.7</v>
      </c>
      <c r="F350" s="45" t="n">
        <v>37.6</v>
      </c>
    </row>
    <row r="351">
      <c r="A351" s="44" t="inlineStr">
        <is>
          <t>P117</t>
        </is>
      </c>
      <c r="B351" s="44" t="inlineStr">
        <is>
          <t>reporting</t>
        </is>
      </c>
      <c r="C351" s="44" t="inlineStr">
        <is>
          <t>high</t>
        </is>
      </c>
      <c r="D351" s="44" t="inlineStr">
        <is>
          <t>uiux</t>
        </is>
      </c>
      <c r="E351" s="45" t="n">
        <v>22.4</v>
      </c>
      <c r="F351" s="45" t="n">
        <v>22.9</v>
      </c>
    </row>
    <row r="352">
      <c r="A352" s="44" t="inlineStr">
        <is>
          <t>P117</t>
        </is>
      </c>
      <c r="B352" s="44" t="inlineStr">
        <is>
          <t>reporting</t>
        </is>
      </c>
      <c r="C352" s="44" t="inlineStr">
        <is>
          <t>high</t>
        </is>
      </c>
      <c r="D352" s="44" t="inlineStr">
        <is>
          <t>fe</t>
        </is>
      </c>
      <c r="E352" s="45" t="n">
        <v>78.40000000000001</v>
      </c>
      <c r="F352" s="45" t="n">
        <v>83.7</v>
      </c>
    </row>
    <row r="353">
      <c r="A353" s="44" t="inlineStr">
        <is>
          <t>P117</t>
        </is>
      </c>
      <c r="B353" s="44" t="inlineStr">
        <is>
          <t>reporting</t>
        </is>
      </c>
      <c r="C353" s="44" t="inlineStr">
        <is>
          <t>high</t>
        </is>
      </c>
      <c r="D353" s="44" t="inlineStr">
        <is>
          <t>be</t>
        </is>
      </c>
      <c r="E353" s="45" t="n">
        <v>56</v>
      </c>
      <c r="F353" s="45" t="n">
        <v>57.2</v>
      </c>
    </row>
    <row r="354">
      <c r="A354" s="44" t="inlineStr">
        <is>
          <t>P117</t>
        </is>
      </c>
      <c r="B354" s="44" t="inlineStr">
        <is>
          <t>reporting</t>
        </is>
      </c>
      <c r="C354" s="44" t="inlineStr">
        <is>
          <t>high</t>
        </is>
      </c>
      <c r="D354" s="44" t="inlineStr">
        <is>
          <t>data</t>
        </is>
      </c>
      <c r="E354" s="45" t="n">
        <v>56</v>
      </c>
      <c r="F354" s="45" t="n">
        <v>47.6</v>
      </c>
    </row>
    <row r="355">
      <c r="A355" s="44" t="inlineStr">
        <is>
          <t>P117</t>
        </is>
      </c>
      <c r="B355" s="44" t="inlineStr">
        <is>
          <t>reporting</t>
        </is>
      </c>
      <c r="C355" s="44" t="inlineStr">
        <is>
          <t>high</t>
        </is>
      </c>
      <c r="D355" s="44" t="inlineStr">
        <is>
          <t>qa</t>
        </is>
      </c>
      <c r="E355" s="45" t="n">
        <v>33.6</v>
      </c>
      <c r="F355" s="45" t="n">
        <v>40.4</v>
      </c>
    </row>
    <row r="356">
      <c r="A356" s="44" t="inlineStr">
        <is>
          <t>P117</t>
        </is>
      </c>
      <c r="B356" s="44" t="inlineStr">
        <is>
          <t>integration</t>
        </is>
      </c>
      <c r="C356" s="44" t="inlineStr">
        <is>
          <t>low</t>
        </is>
      </c>
      <c r="D356" s="44" t="inlineStr">
        <is>
          <t>ba</t>
        </is>
      </c>
      <c r="E356" s="45" t="n">
        <v>8.1</v>
      </c>
      <c r="F356" s="45" t="n">
        <v>8.199999999999999</v>
      </c>
    </row>
    <row r="357">
      <c r="A357" s="44" t="inlineStr">
        <is>
          <t>P117</t>
        </is>
      </c>
      <c r="B357" s="44" t="inlineStr">
        <is>
          <t>integration</t>
        </is>
      </c>
      <c r="C357" s="44" t="inlineStr">
        <is>
          <t>low</t>
        </is>
      </c>
      <c r="D357" s="44" t="inlineStr">
        <is>
          <t>be</t>
        </is>
      </c>
      <c r="E357" s="45" t="n">
        <v>48.4</v>
      </c>
      <c r="F357" s="45" t="n">
        <v>54.6</v>
      </c>
    </row>
    <row r="358">
      <c r="A358" s="44" t="inlineStr">
        <is>
          <t>P117</t>
        </is>
      </c>
      <c r="B358" s="44" t="inlineStr">
        <is>
          <t>integration</t>
        </is>
      </c>
      <c r="C358" s="44" t="inlineStr">
        <is>
          <t>low</t>
        </is>
      </c>
      <c r="D358" s="44" t="inlineStr">
        <is>
          <t>qa</t>
        </is>
      </c>
      <c r="E358" s="45" t="n">
        <v>16.1</v>
      </c>
      <c r="F358" s="45" t="n">
        <v>15.8</v>
      </c>
    </row>
    <row r="359">
      <c r="A359" s="44" t="inlineStr">
        <is>
          <t>P117</t>
        </is>
      </c>
      <c r="B359" s="44" t="inlineStr">
        <is>
          <t>management</t>
        </is>
      </c>
      <c r="C359" s="44" t="inlineStr">
        <is>
          <t>medium</t>
        </is>
      </c>
      <c r="D359" s="44" t="inlineStr">
        <is>
          <t>pm</t>
        </is>
      </c>
      <c r="E359" s="45" t="n">
        <v>57.7</v>
      </c>
      <c r="F359" s="45" t="n">
        <v>59.8</v>
      </c>
    </row>
    <row r="360">
      <c r="A360" s="44" t="inlineStr">
        <is>
          <t>P117</t>
        </is>
      </c>
      <c r="B360" s="44" t="inlineStr">
        <is>
          <t>management</t>
        </is>
      </c>
      <c r="C360" s="44" t="inlineStr">
        <is>
          <t>medium</t>
        </is>
      </c>
      <c r="D360" s="44" t="inlineStr">
        <is>
          <t>lead</t>
        </is>
      </c>
      <c r="E360" s="45" t="n">
        <v>34.6</v>
      </c>
      <c r="F360" s="45" t="n">
        <v>41.3</v>
      </c>
    </row>
    <row r="361">
      <c r="A361" s="44" t="inlineStr">
        <is>
          <t>P118</t>
        </is>
      </c>
      <c r="B361" s="44" t="inlineStr">
        <is>
          <t>ecommerce</t>
        </is>
      </c>
      <c r="C361" s="44" t="inlineStr">
        <is>
          <t>high</t>
        </is>
      </c>
      <c r="D361" s="44" t="inlineStr">
        <is>
          <t>uiux</t>
        </is>
      </c>
      <c r="E361" s="45" t="n">
        <v>44.7</v>
      </c>
      <c r="F361" s="45" t="n">
        <v>48.2</v>
      </c>
    </row>
    <row r="362">
      <c r="A362" s="44" t="inlineStr">
        <is>
          <t>P118</t>
        </is>
      </c>
      <c r="B362" s="44" t="inlineStr">
        <is>
          <t>ecommerce</t>
        </is>
      </c>
      <c r="C362" s="44" t="inlineStr">
        <is>
          <t>high</t>
        </is>
      </c>
      <c r="D362" s="44" t="inlineStr">
        <is>
          <t>fe</t>
        </is>
      </c>
      <c r="E362" s="45" t="n">
        <v>134</v>
      </c>
      <c r="F362" s="45" t="n">
        <v>147.2</v>
      </c>
    </row>
    <row r="363">
      <c r="A363" s="44" t="inlineStr">
        <is>
          <t>P118</t>
        </is>
      </c>
      <c r="B363" s="44" t="inlineStr">
        <is>
          <t>ecommerce</t>
        </is>
      </c>
      <c r="C363" s="44" t="inlineStr">
        <is>
          <t>high</t>
        </is>
      </c>
      <c r="D363" s="44" t="inlineStr">
        <is>
          <t>be</t>
        </is>
      </c>
      <c r="E363" s="45" t="n">
        <v>145.2</v>
      </c>
      <c r="F363" s="45" t="n">
        <v>189.3</v>
      </c>
    </row>
    <row r="364">
      <c r="A364" s="44" t="inlineStr">
        <is>
          <t>P118</t>
        </is>
      </c>
      <c r="B364" s="44" t="inlineStr">
        <is>
          <t>ecommerce</t>
        </is>
      </c>
      <c r="C364" s="44" t="inlineStr">
        <is>
          <t>high</t>
        </is>
      </c>
      <c r="D364" s="44" t="inlineStr">
        <is>
          <t>qa</t>
        </is>
      </c>
      <c r="E364" s="45" t="n">
        <v>78.2</v>
      </c>
      <c r="F364" s="45" t="n">
        <v>94.5</v>
      </c>
    </row>
    <row r="365">
      <c r="A365" s="44" t="inlineStr">
        <is>
          <t>P118</t>
        </is>
      </c>
      <c r="B365" s="44" t="inlineStr">
        <is>
          <t>cms</t>
        </is>
      </c>
      <c r="C365" s="44" t="inlineStr">
        <is>
          <t>medium</t>
        </is>
      </c>
      <c r="D365" s="44" t="inlineStr">
        <is>
          <t>uiux</t>
        </is>
      </c>
      <c r="E365" s="45" t="n">
        <v>17.5</v>
      </c>
      <c r="F365" s="45" t="n">
        <v>21.2</v>
      </c>
    </row>
    <row r="366">
      <c r="A366" s="44" t="inlineStr">
        <is>
          <t>P118</t>
        </is>
      </c>
      <c r="B366" s="44" t="inlineStr">
        <is>
          <t>cms</t>
        </is>
      </c>
      <c r="C366" s="44" t="inlineStr">
        <is>
          <t>medium</t>
        </is>
      </c>
      <c r="D366" s="44" t="inlineStr">
        <is>
          <t>fe</t>
        </is>
      </c>
      <c r="E366" s="45" t="n">
        <v>52.4</v>
      </c>
      <c r="F366" s="45" t="n">
        <v>65.3</v>
      </c>
    </row>
    <row r="367">
      <c r="A367" s="44" t="inlineStr">
        <is>
          <t>P118</t>
        </is>
      </c>
      <c r="B367" s="44" t="inlineStr">
        <is>
          <t>cms</t>
        </is>
      </c>
      <c r="C367" s="44" t="inlineStr">
        <is>
          <t>medium</t>
        </is>
      </c>
      <c r="D367" s="44" t="inlineStr">
        <is>
          <t>be</t>
        </is>
      </c>
      <c r="E367" s="45" t="n">
        <v>43.7</v>
      </c>
      <c r="F367" s="45" t="n">
        <v>45.5</v>
      </c>
    </row>
    <row r="368">
      <c r="A368" s="44" t="inlineStr">
        <is>
          <t>P118</t>
        </is>
      </c>
      <c r="B368" s="44" t="inlineStr">
        <is>
          <t>cms</t>
        </is>
      </c>
      <c r="C368" s="44" t="inlineStr">
        <is>
          <t>medium</t>
        </is>
      </c>
      <c r="D368" s="44" t="inlineStr">
        <is>
          <t>qa</t>
        </is>
      </c>
      <c r="E368" s="45" t="n">
        <v>21.8</v>
      </c>
      <c r="F368" s="45" t="n">
        <v>26.1</v>
      </c>
    </row>
    <row r="369">
      <c r="A369" s="44" t="inlineStr">
        <is>
          <t>P118</t>
        </is>
      </c>
      <c r="B369" s="44" t="inlineStr">
        <is>
          <t>payments</t>
        </is>
      </c>
      <c r="C369" s="44" t="inlineStr">
        <is>
          <t>medium</t>
        </is>
      </c>
      <c r="D369" s="44" t="inlineStr">
        <is>
          <t>ba</t>
        </is>
      </c>
      <c r="E369" s="45" t="n">
        <v>13.9</v>
      </c>
      <c r="F369" s="45" t="n">
        <v>15.5</v>
      </c>
    </row>
    <row r="370">
      <c r="A370" s="44" t="inlineStr">
        <is>
          <t>P118</t>
        </is>
      </c>
      <c r="B370" s="44" t="inlineStr">
        <is>
          <t>payments</t>
        </is>
      </c>
      <c r="C370" s="44" t="inlineStr">
        <is>
          <t>medium</t>
        </is>
      </c>
      <c r="D370" s="44" t="inlineStr">
        <is>
          <t>fe</t>
        </is>
      </c>
      <c r="E370" s="45" t="n">
        <v>27.7</v>
      </c>
      <c r="F370" s="45" t="n">
        <v>34.5</v>
      </c>
    </row>
    <row r="371">
      <c r="A371" s="44" t="inlineStr">
        <is>
          <t>P118</t>
        </is>
      </c>
      <c r="B371" s="44" t="inlineStr">
        <is>
          <t>payments</t>
        </is>
      </c>
      <c r="C371" s="44" t="inlineStr">
        <is>
          <t>medium</t>
        </is>
      </c>
      <c r="D371" s="44" t="inlineStr">
        <is>
          <t>be</t>
        </is>
      </c>
      <c r="E371" s="45" t="n">
        <v>83.2</v>
      </c>
      <c r="F371" s="45" t="n">
        <v>92.8</v>
      </c>
    </row>
    <row r="372">
      <c r="A372" s="44" t="inlineStr">
        <is>
          <t>P118</t>
        </is>
      </c>
      <c r="B372" s="44" t="inlineStr">
        <is>
          <t>payments</t>
        </is>
      </c>
      <c r="C372" s="44" t="inlineStr">
        <is>
          <t>medium</t>
        </is>
      </c>
      <c r="D372" s="44" t="inlineStr">
        <is>
          <t>qa</t>
        </is>
      </c>
      <c r="E372" s="45" t="n">
        <v>41.6</v>
      </c>
      <c r="F372" s="45" t="n">
        <v>52.3</v>
      </c>
    </row>
    <row r="373">
      <c r="A373" s="44" t="inlineStr">
        <is>
          <t>P118</t>
        </is>
      </c>
      <c r="B373" s="44" t="inlineStr">
        <is>
          <t>search</t>
        </is>
      </c>
      <c r="C373" s="44" t="inlineStr">
        <is>
          <t>medium</t>
        </is>
      </c>
      <c r="D373" s="44" t="inlineStr">
        <is>
          <t>fe</t>
        </is>
      </c>
      <c r="E373" s="45" t="n">
        <v>41.3</v>
      </c>
      <c r="F373" s="45" t="n">
        <v>49.4</v>
      </c>
    </row>
    <row r="374">
      <c r="A374" s="44" t="inlineStr">
        <is>
          <t>P118</t>
        </is>
      </c>
      <c r="B374" s="44" t="inlineStr">
        <is>
          <t>search</t>
        </is>
      </c>
      <c r="C374" s="44" t="inlineStr">
        <is>
          <t>medium</t>
        </is>
      </c>
      <c r="D374" s="44" t="inlineStr">
        <is>
          <t>be</t>
        </is>
      </c>
      <c r="E374" s="45" t="n">
        <v>57.8</v>
      </c>
      <c r="F374" s="45" t="n">
        <v>76.40000000000001</v>
      </c>
    </row>
    <row r="375">
      <c r="A375" s="44" t="inlineStr">
        <is>
          <t>P118</t>
        </is>
      </c>
      <c r="B375" s="44" t="inlineStr">
        <is>
          <t>search</t>
        </is>
      </c>
      <c r="C375" s="44" t="inlineStr">
        <is>
          <t>medium</t>
        </is>
      </c>
      <c r="D375" s="44" t="inlineStr">
        <is>
          <t>qa</t>
        </is>
      </c>
      <c r="E375" s="45" t="n">
        <v>20.6</v>
      </c>
      <c r="F375" s="45" t="n">
        <v>25</v>
      </c>
    </row>
    <row r="376">
      <c r="A376" s="44" t="inlineStr">
        <is>
          <t>P118</t>
        </is>
      </c>
      <c r="B376" s="44" t="inlineStr">
        <is>
          <t>integration</t>
        </is>
      </c>
      <c r="C376" s="44" t="inlineStr">
        <is>
          <t>medium</t>
        </is>
      </c>
      <c r="D376" s="44" t="inlineStr">
        <is>
          <t>ba</t>
        </is>
      </c>
      <c r="E376" s="45" t="n">
        <v>13.8</v>
      </c>
      <c r="F376" s="45" t="n">
        <v>15.9</v>
      </c>
    </row>
    <row r="377">
      <c r="A377" s="44" t="inlineStr">
        <is>
          <t>P118</t>
        </is>
      </c>
      <c r="B377" s="44" t="inlineStr">
        <is>
          <t>integration</t>
        </is>
      </c>
      <c r="C377" s="44" t="inlineStr">
        <is>
          <t>medium</t>
        </is>
      </c>
      <c r="D377" s="44" t="inlineStr">
        <is>
          <t>be</t>
        </is>
      </c>
      <c r="E377" s="45" t="n">
        <v>82.8</v>
      </c>
      <c r="F377" s="45" t="n">
        <v>108.2</v>
      </c>
    </row>
    <row r="378">
      <c r="A378" s="44" t="inlineStr">
        <is>
          <t>P118</t>
        </is>
      </c>
      <c r="B378" s="44" t="inlineStr">
        <is>
          <t>integration</t>
        </is>
      </c>
      <c r="C378" s="44" t="inlineStr">
        <is>
          <t>medium</t>
        </is>
      </c>
      <c r="D378" s="44" t="inlineStr">
        <is>
          <t>qa</t>
        </is>
      </c>
      <c r="E378" s="45" t="n">
        <v>27.6</v>
      </c>
      <c r="F378" s="45" t="n">
        <v>32.3</v>
      </c>
    </row>
    <row r="379">
      <c r="A379" s="44" t="inlineStr">
        <is>
          <t>P118</t>
        </is>
      </c>
      <c r="B379" s="44" t="inlineStr">
        <is>
          <t>management</t>
        </is>
      </c>
      <c r="C379" s="44" t="inlineStr">
        <is>
          <t>medium</t>
        </is>
      </c>
      <c r="D379" s="44" t="inlineStr">
        <is>
          <t>pm</t>
        </is>
      </c>
      <c r="E379" s="45" t="n">
        <v>94.8</v>
      </c>
      <c r="F379" s="45" t="n">
        <v>100.4</v>
      </c>
    </row>
    <row r="380">
      <c r="A380" s="44" t="inlineStr">
        <is>
          <t>P118</t>
        </is>
      </c>
      <c r="B380" s="44" t="inlineStr">
        <is>
          <t>management</t>
        </is>
      </c>
      <c r="C380" s="44" t="inlineStr">
        <is>
          <t>medium</t>
        </is>
      </c>
      <c r="D380" s="44" t="inlineStr">
        <is>
          <t>lead</t>
        </is>
      </c>
      <c r="E380" s="45" t="n">
        <v>56.9</v>
      </c>
      <c r="F380" s="45" t="n">
        <v>63.5</v>
      </c>
    </row>
    <row r="381">
      <c r="A381" s="44" t="inlineStr">
        <is>
          <t>P119</t>
        </is>
      </c>
      <c r="B381" s="44" t="inlineStr">
        <is>
          <t>mobile_app</t>
        </is>
      </c>
      <c r="C381" s="44" t="inlineStr">
        <is>
          <t>medium</t>
        </is>
      </c>
      <c r="D381" s="44" t="inlineStr">
        <is>
          <t>uiux</t>
        </is>
      </c>
      <c r="E381" s="45" t="n">
        <v>64.2</v>
      </c>
      <c r="F381" s="45" t="n">
        <v>79.59999999999999</v>
      </c>
    </row>
    <row r="382">
      <c r="A382" s="44" t="inlineStr">
        <is>
          <t>P119</t>
        </is>
      </c>
      <c r="B382" s="44" t="inlineStr">
        <is>
          <t>mobile_app</t>
        </is>
      </c>
      <c r="C382" s="44" t="inlineStr">
        <is>
          <t>medium</t>
        </is>
      </c>
      <c r="D382" s="44" t="inlineStr">
        <is>
          <t>mobile</t>
        </is>
      </c>
      <c r="E382" s="45" t="n">
        <v>342.2</v>
      </c>
      <c r="F382" s="45" t="n">
        <v>368.1</v>
      </c>
    </row>
    <row r="383">
      <c r="A383" s="44" t="inlineStr">
        <is>
          <t>P119</t>
        </is>
      </c>
      <c r="B383" s="44" t="inlineStr">
        <is>
          <t>mobile_app</t>
        </is>
      </c>
      <c r="C383" s="44" t="inlineStr">
        <is>
          <t>medium</t>
        </is>
      </c>
      <c r="D383" s="44" t="inlineStr">
        <is>
          <t>be</t>
        </is>
      </c>
      <c r="E383" s="45" t="n">
        <v>42.8</v>
      </c>
      <c r="F383" s="45" t="n">
        <v>56.3</v>
      </c>
    </row>
    <row r="384">
      <c r="A384" s="44" t="inlineStr">
        <is>
          <t>P119</t>
        </is>
      </c>
      <c r="B384" s="44" t="inlineStr">
        <is>
          <t>mobile_app</t>
        </is>
      </c>
      <c r="C384" s="44" t="inlineStr">
        <is>
          <t>medium</t>
        </is>
      </c>
      <c r="D384" s="44" t="inlineStr">
        <is>
          <t>qa</t>
        </is>
      </c>
      <c r="E384" s="45" t="n">
        <v>128.3</v>
      </c>
      <c r="F384" s="45" t="n">
        <v>152.7</v>
      </c>
    </row>
    <row r="385">
      <c r="A385" s="44" t="inlineStr">
        <is>
          <t>P119</t>
        </is>
      </c>
      <c r="B385" s="44" t="inlineStr">
        <is>
          <t>geo</t>
        </is>
      </c>
      <c r="C385" s="44" t="inlineStr">
        <is>
          <t>high</t>
        </is>
      </c>
      <c r="D385" s="44" t="inlineStr">
        <is>
          <t>fe</t>
        </is>
      </c>
      <c r="E385" s="45" t="n">
        <v>65.3</v>
      </c>
      <c r="F385" s="45" t="n">
        <v>83.7</v>
      </c>
    </row>
    <row r="386">
      <c r="A386" s="44" t="inlineStr">
        <is>
          <t>P119</t>
        </is>
      </c>
      <c r="B386" s="44" t="inlineStr">
        <is>
          <t>geo</t>
        </is>
      </c>
      <c r="C386" s="44" t="inlineStr">
        <is>
          <t>high</t>
        </is>
      </c>
      <c r="D386" s="44" t="inlineStr">
        <is>
          <t>be</t>
        </is>
      </c>
      <c r="E386" s="45" t="n">
        <v>91.5</v>
      </c>
      <c r="F386" s="45" t="n">
        <v>111.5</v>
      </c>
    </row>
    <row r="387">
      <c r="A387" s="44" t="inlineStr">
        <is>
          <t>P119</t>
        </is>
      </c>
      <c r="B387" s="44" t="inlineStr">
        <is>
          <t>geo</t>
        </is>
      </c>
      <c r="C387" s="44" t="inlineStr">
        <is>
          <t>high</t>
        </is>
      </c>
      <c r="D387" s="44" t="inlineStr">
        <is>
          <t>mobile</t>
        </is>
      </c>
      <c r="E387" s="45" t="n">
        <v>65.3</v>
      </c>
      <c r="F387" s="45" t="n">
        <v>78.7</v>
      </c>
    </row>
    <row r="388">
      <c r="A388" s="44" t="inlineStr">
        <is>
          <t>P119</t>
        </is>
      </c>
      <c r="B388" s="44" t="inlineStr">
        <is>
          <t>geo</t>
        </is>
      </c>
      <c r="C388" s="44" t="inlineStr">
        <is>
          <t>high</t>
        </is>
      </c>
      <c r="D388" s="44" t="inlineStr">
        <is>
          <t>qa</t>
        </is>
      </c>
      <c r="E388" s="45" t="n">
        <v>39.2</v>
      </c>
      <c r="F388" s="45" t="n">
        <v>49.1</v>
      </c>
    </row>
    <row r="389">
      <c r="A389" s="44" t="inlineStr">
        <is>
          <t>P119</t>
        </is>
      </c>
      <c r="B389" s="44" t="inlineStr">
        <is>
          <t>iot</t>
        </is>
      </c>
      <c r="C389" s="44" t="inlineStr">
        <is>
          <t>medium</t>
        </is>
      </c>
      <c r="D389" s="44" t="inlineStr">
        <is>
          <t>be</t>
        </is>
      </c>
      <c r="E389" s="45" t="n">
        <v>103.8</v>
      </c>
      <c r="F389" s="45" t="n">
        <v>136.3</v>
      </c>
    </row>
    <row r="390">
      <c r="A390" s="44" t="inlineStr">
        <is>
          <t>P119</t>
        </is>
      </c>
      <c r="B390" s="44" t="inlineStr">
        <is>
          <t>iot</t>
        </is>
      </c>
      <c r="C390" s="44" t="inlineStr">
        <is>
          <t>medium</t>
        </is>
      </c>
      <c r="D390" s="44" t="inlineStr">
        <is>
          <t>data</t>
        </is>
      </c>
      <c r="E390" s="45" t="n">
        <v>43.3</v>
      </c>
      <c r="F390" s="45" t="n">
        <v>50.1</v>
      </c>
    </row>
    <row r="391">
      <c r="A391" s="44" t="inlineStr">
        <is>
          <t>P119</t>
        </is>
      </c>
      <c r="B391" s="44" t="inlineStr">
        <is>
          <t>iot</t>
        </is>
      </c>
      <c r="C391" s="44" t="inlineStr">
        <is>
          <t>medium</t>
        </is>
      </c>
      <c r="D391" s="44" t="inlineStr">
        <is>
          <t>devops</t>
        </is>
      </c>
      <c r="E391" s="45" t="n">
        <v>43.3</v>
      </c>
      <c r="F391" s="45" t="n">
        <v>57.5</v>
      </c>
    </row>
    <row r="392">
      <c r="A392" s="44" t="inlineStr">
        <is>
          <t>P119</t>
        </is>
      </c>
      <c r="B392" s="44" t="inlineStr">
        <is>
          <t>iot</t>
        </is>
      </c>
      <c r="C392" s="44" t="inlineStr">
        <is>
          <t>medium</t>
        </is>
      </c>
      <c r="D392" s="44" t="inlineStr">
        <is>
          <t>qa</t>
        </is>
      </c>
      <c r="E392" s="45" t="n">
        <v>34.6</v>
      </c>
      <c r="F392" s="45" t="n">
        <v>41.5</v>
      </c>
    </row>
    <row r="393">
      <c r="A393" s="44" t="inlineStr">
        <is>
          <t>P119</t>
        </is>
      </c>
      <c r="B393" s="44" t="inlineStr">
        <is>
          <t>admin_panel</t>
        </is>
      </c>
      <c r="C393" s="44" t="inlineStr">
        <is>
          <t>medium</t>
        </is>
      </c>
      <c r="D393" s="44" t="inlineStr">
        <is>
          <t>ba</t>
        </is>
      </c>
      <c r="E393" s="45" t="n">
        <v>16.4</v>
      </c>
      <c r="F393" s="45" t="n">
        <v>20</v>
      </c>
    </row>
    <row r="394">
      <c r="A394" s="44" t="inlineStr">
        <is>
          <t>P119</t>
        </is>
      </c>
      <c r="B394" s="44" t="inlineStr">
        <is>
          <t>admin_panel</t>
        </is>
      </c>
      <c r="C394" s="44" t="inlineStr">
        <is>
          <t>medium</t>
        </is>
      </c>
      <c r="D394" s="44" t="inlineStr">
        <is>
          <t>uiux</t>
        </is>
      </c>
      <c r="E394" s="45" t="n">
        <v>24.6</v>
      </c>
      <c r="F394" s="45" t="n">
        <v>29.8</v>
      </c>
    </row>
    <row r="395">
      <c r="A395" s="44" t="inlineStr">
        <is>
          <t>P119</t>
        </is>
      </c>
      <c r="B395" s="44" t="inlineStr">
        <is>
          <t>admin_panel</t>
        </is>
      </c>
      <c r="C395" s="44" t="inlineStr">
        <is>
          <t>medium</t>
        </is>
      </c>
      <c r="D395" s="44" t="inlineStr">
        <is>
          <t>fe</t>
        </is>
      </c>
      <c r="E395" s="45" t="n">
        <v>82</v>
      </c>
      <c r="F395" s="45" t="n">
        <v>99.40000000000001</v>
      </c>
    </row>
    <row r="396">
      <c r="A396" s="44" t="inlineStr">
        <is>
          <t>P119</t>
        </is>
      </c>
      <c r="B396" s="44" t="inlineStr">
        <is>
          <t>admin_panel</t>
        </is>
      </c>
      <c r="C396" s="44" t="inlineStr">
        <is>
          <t>medium</t>
        </is>
      </c>
      <c r="D396" s="44" t="inlineStr">
        <is>
          <t>be</t>
        </is>
      </c>
      <c r="E396" s="45" t="n">
        <v>73.8</v>
      </c>
      <c r="F396" s="45" t="n">
        <v>90.09999999999999</v>
      </c>
    </row>
    <row r="397">
      <c r="A397" s="44" t="inlineStr">
        <is>
          <t>P119</t>
        </is>
      </c>
      <c r="B397" s="44" t="inlineStr">
        <is>
          <t>admin_panel</t>
        </is>
      </c>
      <c r="C397" s="44" t="inlineStr">
        <is>
          <t>medium</t>
        </is>
      </c>
      <c r="D397" s="44" t="inlineStr">
        <is>
          <t>qa</t>
        </is>
      </c>
      <c r="E397" s="45" t="n">
        <v>41</v>
      </c>
      <c r="F397" s="45" t="n">
        <v>51.5</v>
      </c>
    </row>
    <row r="398">
      <c r="A398" s="44" t="inlineStr">
        <is>
          <t>P119</t>
        </is>
      </c>
      <c r="B398" s="44" t="inlineStr">
        <is>
          <t>reporting</t>
        </is>
      </c>
      <c r="C398" s="44" t="inlineStr">
        <is>
          <t>low</t>
        </is>
      </c>
      <c r="D398" s="44" t="inlineStr">
        <is>
          <t>uiux</t>
        </is>
      </c>
      <c r="E398" s="45" t="n">
        <v>11</v>
      </c>
      <c r="F398" s="45" t="n">
        <v>12.8</v>
      </c>
    </row>
    <row r="399">
      <c r="A399" s="44" t="inlineStr">
        <is>
          <t>P119</t>
        </is>
      </c>
      <c r="B399" s="44" t="inlineStr">
        <is>
          <t>reporting</t>
        </is>
      </c>
      <c r="C399" s="44" t="inlineStr">
        <is>
          <t>low</t>
        </is>
      </c>
      <c r="D399" s="44" t="inlineStr">
        <is>
          <t>fe</t>
        </is>
      </c>
      <c r="E399" s="45" t="n">
        <v>38.5</v>
      </c>
      <c r="F399" s="45" t="n">
        <v>42.9</v>
      </c>
    </row>
    <row r="400">
      <c r="A400" s="44" t="inlineStr">
        <is>
          <t>P119</t>
        </is>
      </c>
      <c r="B400" s="44" t="inlineStr">
        <is>
          <t>reporting</t>
        </is>
      </c>
      <c r="C400" s="44" t="inlineStr">
        <is>
          <t>low</t>
        </is>
      </c>
      <c r="D400" s="44" t="inlineStr">
        <is>
          <t>be</t>
        </is>
      </c>
      <c r="E400" s="45" t="n">
        <v>27.5</v>
      </c>
      <c r="F400" s="45" t="n">
        <v>32.9</v>
      </c>
    </row>
    <row r="401">
      <c r="A401" s="44" t="inlineStr">
        <is>
          <t>P119</t>
        </is>
      </c>
      <c r="B401" s="44" t="inlineStr">
        <is>
          <t>reporting</t>
        </is>
      </c>
      <c r="C401" s="44" t="inlineStr">
        <is>
          <t>low</t>
        </is>
      </c>
      <c r="D401" s="44" t="inlineStr">
        <is>
          <t>data</t>
        </is>
      </c>
      <c r="E401" s="45" t="n">
        <v>27.5</v>
      </c>
      <c r="F401" s="45" t="n">
        <v>33.8</v>
      </c>
    </row>
    <row r="402">
      <c r="A402" s="44" t="inlineStr">
        <is>
          <t>P119</t>
        </is>
      </c>
      <c r="B402" s="44" t="inlineStr">
        <is>
          <t>reporting</t>
        </is>
      </c>
      <c r="C402" s="44" t="inlineStr">
        <is>
          <t>low</t>
        </is>
      </c>
      <c r="D402" s="44" t="inlineStr">
        <is>
          <t>qa</t>
        </is>
      </c>
      <c r="E402" s="45" t="n">
        <v>16.5</v>
      </c>
      <c r="F402" s="45" t="n">
        <v>20.8</v>
      </c>
    </row>
    <row r="403">
      <c r="A403" s="44" t="inlineStr">
        <is>
          <t>P119</t>
        </is>
      </c>
      <c r="B403" s="44" t="inlineStr">
        <is>
          <t>management</t>
        </is>
      </c>
      <c r="C403" s="44" t="inlineStr">
        <is>
          <t>medium</t>
        </is>
      </c>
      <c r="D403" s="44" t="inlineStr">
        <is>
          <t>pm</t>
        </is>
      </c>
      <c r="E403" s="45" t="n">
        <v>142.3</v>
      </c>
      <c r="F403" s="45" t="n">
        <v>147.5</v>
      </c>
    </row>
    <row r="404">
      <c r="A404" s="44" t="inlineStr">
        <is>
          <t>P119</t>
        </is>
      </c>
      <c r="B404" s="44" t="inlineStr">
        <is>
          <t>management</t>
        </is>
      </c>
      <c r="C404" s="44" t="inlineStr">
        <is>
          <t>medium</t>
        </is>
      </c>
      <c r="D404" s="44" t="inlineStr">
        <is>
          <t>lead</t>
        </is>
      </c>
      <c r="E404" s="45" t="n">
        <v>85.40000000000001</v>
      </c>
      <c r="F404" s="45" t="n">
        <v>86</v>
      </c>
    </row>
    <row r="405">
      <c r="A405" s="44" t="inlineStr">
        <is>
          <t>P120</t>
        </is>
      </c>
      <c r="B405" s="44" t="inlineStr">
        <is>
          <t>search</t>
        </is>
      </c>
      <c r="C405" s="44" t="inlineStr">
        <is>
          <t>high</t>
        </is>
      </c>
      <c r="D405" s="44" t="inlineStr">
        <is>
          <t>fe</t>
        </is>
      </c>
      <c r="E405" s="45" t="n">
        <v>56.1</v>
      </c>
      <c r="F405" s="45" t="n">
        <v>72.5</v>
      </c>
    </row>
    <row r="406">
      <c r="A406" s="44" t="inlineStr">
        <is>
          <t>P120</t>
        </is>
      </c>
      <c r="B406" s="44" t="inlineStr">
        <is>
          <t>search</t>
        </is>
      </c>
      <c r="C406" s="44" t="inlineStr">
        <is>
          <t>high</t>
        </is>
      </c>
      <c r="D406" s="44" t="inlineStr">
        <is>
          <t>be</t>
        </is>
      </c>
      <c r="E406" s="45" t="n">
        <v>78.59999999999999</v>
      </c>
      <c r="F406" s="45" t="n">
        <v>88.09999999999999</v>
      </c>
    </row>
    <row r="407">
      <c r="A407" s="44" t="inlineStr">
        <is>
          <t>P120</t>
        </is>
      </c>
      <c r="B407" s="44" t="inlineStr">
        <is>
          <t>search</t>
        </is>
      </c>
      <c r="C407" s="44" t="inlineStr">
        <is>
          <t>high</t>
        </is>
      </c>
      <c r="D407" s="44" t="inlineStr">
        <is>
          <t>qa</t>
        </is>
      </c>
      <c r="E407" s="45" t="n">
        <v>28.1</v>
      </c>
      <c r="F407" s="45" t="n">
        <v>29.3</v>
      </c>
    </row>
    <row r="408">
      <c r="A408" s="44" t="inlineStr">
        <is>
          <t>P120</t>
        </is>
      </c>
      <c r="B408" s="44" t="inlineStr">
        <is>
          <t>web_portal</t>
        </is>
      </c>
      <c r="C408" s="44" t="inlineStr">
        <is>
          <t>medium</t>
        </is>
      </c>
      <c r="D408" s="44" t="inlineStr">
        <is>
          <t>ba</t>
        </is>
      </c>
      <c r="E408" s="45" t="n">
        <v>17.7</v>
      </c>
      <c r="F408" s="45" t="n">
        <v>20.6</v>
      </c>
    </row>
    <row r="409">
      <c r="A409" s="44" t="inlineStr">
        <is>
          <t>P120</t>
        </is>
      </c>
      <c r="B409" s="44" t="inlineStr">
        <is>
          <t>web_portal</t>
        </is>
      </c>
      <c r="C409" s="44" t="inlineStr">
        <is>
          <t>medium</t>
        </is>
      </c>
      <c r="D409" s="44" t="inlineStr">
        <is>
          <t>uiux</t>
        </is>
      </c>
      <c r="E409" s="45" t="n">
        <v>66.40000000000001</v>
      </c>
      <c r="F409" s="45" t="n">
        <v>73.90000000000001</v>
      </c>
    </row>
    <row r="410">
      <c r="A410" s="44" t="inlineStr">
        <is>
          <t>P120</t>
        </is>
      </c>
      <c r="B410" s="44" t="inlineStr">
        <is>
          <t>web_portal</t>
        </is>
      </c>
      <c r="C410" s="44" t="inlineStr">
        <is>
          <t>medium</t>
        </is>
      </c>
      <c r="D410" s="44" t="inlineStr">
        <is>
          <t>fe</t>
        </is>
      </c>
      <c r="E410" s="45" t="n">
        <v>177</v>
      </c>
      <c r="F410" s="45" t="n">
        <v>197.3</v>
      </c>
    </row>
    <row r="411">
      <c r="A411" s="44" t="inlineStr">
        <is>
          <t>P120</t>
        </is>
      </c>
      <c r="B411" s="44" t="inlineStr">
        <is>
          <t>web_portal</t>
        </is>
      </c>
      <c r="C411" s="44" t="inlineStr">
        <is>
          <t>medium</t>
        </is>
      </c>
      <c r="D411" s="44" t="inlineStr">
        <is>
          <t>qa</t>
        </is>
      </c>
      <c r="E411" s="45" t="n">
        <v>44.2</v>
      </c>
      <c r="F411" s="45" t="n">
        <v>48.8</v>
      </c>
    </row>
    <row r="412">
      <c r="A412" s="44" t="inlineStr">
        <is>
          <t>P120</t>
        </is>
      </c>
      <c r="B412" s="44" t="inlineStr">
        <is>
          <t>cms</t>
        </is>
      </c>
      <c r="C412" s="44" t="inlineStr">
        <is>
          <t>medium</t>
        </is>
      </c>
      <c r="D412" s="44" t="inlineStr">
        <is>
          <t>uiux</t>
        </is>
      </c>
      <c r="E412" s="45" t="n">
        <v>18.2</v>
      </c>
      <c r="F412" s="45" t="n">
        <v>21.7</v>
      </c>
    </row>
    <row r="413">
      <c r="A413" s="44" t="inlineStr">
        <is>
          <t>P120</t>
        </is>
      </c>
      <c r="B413" s="44" t="inlineStr">
        <is>
          <t>cms</t>
        </is>
      </c>
      <c r="C413" s="44" t="inlineStr">
        <is>
          <t>medium</t>
        </is>
      </c>
      <c r="D413" s="44" t="inlineStr">
        <is>
          <t>fe</t>
        </is>
      </c>
      <c r="E413" s="45" t="n">
        <v>54.6</v>
      </c>
      <c r="F413" s="45" t="n">
        <v>59.8</v>
      </c>
    </row>
    <row r="414">
      <c r="A414" s="44" t="inlineStr">
        <is>
          <t>P120</t>
        </is>
      </c>
      <c r="B414" s="44" t="inlineStr">
        <is>
          <t>cms</t>
        </is>
      </c>
      <c r="C414" s="44" t="inlineStr">
        <is>
          <t>medium</t>
        </is>
      </c>
      <c r="D414" s="44" t="inlineStr">
        <is>
          <t>be</t>
        </is>
      </c>
      <c r="E414" s="45" t="n">
        <v>45.5</v>
      </c>
      <c r="F414" s="45" t="n">
        <v>57.3</v>
      </c>
    </row>
    <row r="415">
      <c r="A415" s="44" t="inlineStr">
        <is>
          <t>P120</t>
        </is>
      </c>
      <c r="B415" s="44" t="inlineStr">
        <is>
          <t>cms</t>
        </is>
      </c>
      <c r="C415" s="44" t="inlineStr">
        <is>
          <t>medium</t>
        </is>
      </c>
      <c r="D415" s="44" t="inlineStr">
        <is>
          <t>qa</t>
        </is>
      </c>
      <c r="E415" s="45" t="n">
        <v>22.8</v>
      </c>
      <c r="F415" s="45" t="n">
        <v>27.8</v>
      </c>
    </row>
    <row r="416">
      <c r="A416" s="44" t="inlineStr">
        <is>
          <t>P120</t>
        </is>
      </c>
      <c r="B416" s="44" t="inlineStr">
        <is>
          <t>auth</t>
        </is>
      </c>
      <c r="C416" s="44" t="inlineStr">
        <is>
          <t>medium</t>
        </is>
      </c>
      <c r="D416" s="44" t="inlineStr">
        <is>
          <t>ba</t>
        </is>
      </c>
      <c r="E416" s="45" t="n">
        <v>6.9</v>
      </c>
      <c r="F416" s="45" t="n">
        <v>7.7</v>
      </c>
    </row>
    <row r="417">
      <c r="A417" s="44" t="inlineStr">
        <is>
          <t>P120</t>
        </is>
      </c>
      <c r="B417" s="44" t="inlineStr">
        <is>
          <t>auth</t>
        </is>
      </c>
      <c r="C417" s="44" t="inlineStr">
        <is>
          <t>medium</t>
        </is>
      </c>
      <c r="D417" s="44" t="inlineStr">
        <is>
          <t>uiux</t>
        </is>
      </c>
      <c r="E417" s="45" t="n">
        <v>10.3</v>
      </c>
      <c r="F417" s="45" t="n">
        <v>12.4</v>
      </c>
    </row>
    <row r="418">
      <c r="A418" s="44" t="inlineStr">
        <is>
          <t>P120</t>
        </is>
      </c>
      <c r="B418" s="44" t="inlineStr">
        <is>
          <t>auth</t>
        </is>
      </c>
      <c r="C418" s="44" t="inlineStr">
        <is>
          <t>medium</t>
        </is>
      </c>
      <c r="D418" s="44" t="inlineStr">
        <is>
          <t>fe</t>
        </is>
      </c>
      <c r="E418" s="45" t="n">
        <v>34.5</v>
      </c>
      <c r="F418" s="45" t="n">
        <v>36.4</v>
      </c>
    </row>
    <row r="419">
      <c r="A419" s="44" t="inlineStr">
        <is>
          <t>P120</t>
        </is>
      </c>
      <c r="B419" s="44" t="inlineStr">
        <is>
          <t>auth</t>
        </is>
      </c>
      <c r="C419" s="44" t="inlineStr">
        <is>
          <t>medium</t>
        </is>
      </c>
      <c r="D419" s="44" t="inlineStr">
        <is>
          <t>be</t>
        </is>
      </c>
      <c r="E419" s="45" t="n">
        <v>48.2</v>
      </c>
      <c r="F419" s="45" t="n">
        <v>52.3</v>
      </c>
    </row>
    <row r="420">
      <c r="A420" s="44" t="inlineStr">
        <is>
          <t>P120</t>
        </is>
      </c>
      <c r="B420" s="44" t="inlineStr">
        <is>
          <t>auth</t>
        </is>
      </c>
      <c r="C420" s="44" t="inlineStr">
        <is>
          <t>medium</t>
        </is>
      </c>
      <c r="D420" s="44" t="inlineStr">
        <is>
          <t>qa</t>
        </is>
      </c>
      <c r="E420" s="45" t="n">
        <v>20.7</v>
      </c>
      <c r="F420" s="45" t="n">
        <v>27.6</v>
      </c>
    </row>
    <row r="421">
      <c r="A421" s="44" t="inlineStr">
        <is>
          <t>P120</t>
        </is>
      </c>
      <c r="B421" s="44" t="inlineStr">
        <is>
          <t>integration</t>
        </is>
      </c>
      <c r="C421" s="44" t="inlineStr">
        <is>
          <t>low</t>
        </is>
      </c>
      <c r="D421" s="44" t="inlineStr">
        <is>
          <t>ba</t>
        </is>
      </c>
      <c r="E421" s="45" t="n">
        <v>7.8</v>
      </c>
      <c r="F421" s="45" t="n">
        <v>8.5</v>
      </c>
    </row>
    <row r="422">
      <c r="A422" s="44" t="inlineStr">
        <is>
          <t>P120</t>
        </is>
      </c>
      <c r="B422" s="44" t="inlineStr">
        <is>
          <t>integration</t>
        </is>
      </c>
      <c r="C422" s="44" t="inlineStr">
        <is>
          <t>low</t>
        </is>
      </c>
      <c r="D422" s="44" t="inlineStr">
        <is>
          <t>be</t>
        </is>
      </c>
      <c r="E422" s="45" t="n">
        <v>46.9</v>
      </c>
      <c r="F422" s="45" t="n">
        <v>59.7</v>
      </c>
    </row>
    <row r="423">
      <c r="A423" s="44" t="inlineStr">
        <is>
          <t>P120</t>
        </is>
      </c>
      <c r="B423" s="44" t="inlineStr">
        <is>
          <t>integration</t>
        </is>
      </c>
      <c r="C423" s="44" t="inlineStr">
        <is>
          <t>low</t>
        </is>
      </c>
      <c r="D423" s="44" t="inlineStr">
        <is>
          <t>qa</t>
        </is>
      </c>
      <c r="E423" s="45" t="n">
        <v>15.6</v>
      </c>
      <c r="F423" s="45" t="n">
        <v>19.6</v>
      </c>
    </row>
    <row r="424">
      <c r="A424" s="44" t="inlineStr">
        <is>
          <t>P120</t>
        </is>
      </c>
      <c r="B424" s="44" t="inlineStr">
        <is>
          <t>management</t>
        </is>
      </c>
      <c r="C424" s="44" t="inlineStr">
        <is>
          <t>medium</t>
        </is>
      </c>
      <c r="D424" s="44" t="inlineStr">
        <is>
          <t>pm</t>
        </is>
      </c>
      <c r="E424" s="45" t="n">
        <v>80</v>
      </c>
      <c r="F424" s="45" t="n">
        <v>82.09999999999999</v>
      </c>
    </row>
    <row r="425">
      <c r="A425" s="44" t="inlineStr">
        <is>
          <t>P120</t>
        </is>
      </c>
      <c r="B425" s="44" t="inlineStr">
        <is>
          <t>management</t>
        </is>
      </c>
      <c r="C425" s="44" t="inlineStr">
        <is>
          <t>medium</t>
        </is>
      </c>
      <c r="D425" s="44" t="inlineStr">
        <is>
          <t>lead</t>
        </is>
      </c>
      <c r="E425" s="45" t="n">
        <v>48</v>
      </c>
      <c r="F425" s="45" t="n">
        <v>56.7</v>
      </c>
    </row>
    <row r="426">
      <c r="A426" s="44" t="inlineStr">
        <is>
          <t>P121</t>
        </is>
      </c>
      <c r="B426" s="44" t="inlineStr">
        <is>
          <t>bpm</t>
        </is>
      </c>
      <c r="C426" s="44" t="inlineStr">
        <is>
          <t>high</t>
        </is>
      </c>
      <c r="D426" s="44" t="inlineStr">
        <is>
          <t>ba</t>
        </is>
      </c>
      <c r="E426" s="45" t="n">
        <v>56</v>
      </c>
      <c r="F426" s="45" t="n">
        <v>68</v>
      </c>
    </row>
    <row r="427">
      <c r="A427" s="44" t="inlineStr">
        <is>
          <t>P121</t>
        </is>
      </c>
      <c r="B427" s="44" t="inlineStr">
        <is>
          <t>bpm</t>
        </is>
      </c>
      <c r="C427" s="44" t="inlineStr">
        <is>
          <t>high</t>
        </is>
      </c>
      <c r="D427" s="44" t="inlineStr">
        <is>
          <t>fe</t>
        </is>
      </c>
      <c r="E427" s="45" t="n">
        <v>98</v>
      </c>
      <c r="F427" s="45" t="n">
        <v>102.7</v>
      </c>
    </row>
    <row r="428">
      <c r="A428" s="44" t="inlineStr">
        <is>
          <t>P121</t>
        </is>
      </c>
      <c r="B428" s="44" t="inlineStr">
        <is>
          <t>bpm</t>
        </is>
      </c>
      <c r="C428" s="44" t="inlineStr">
        <is>
          <t>high</t>
        </is>
      </c>
      <c r="D428" s="44" t="inlineStr">
        <is>
          <t>be</t>
        </is>
      </c>
      <c r="E428" s="45" t="n">
        <v>182.1</v>
      </c>
      <c r="F428" s="45" t="n">
        <v>216.3</v>
      </c>
    </row>
    <row r="429">
      <c r="A429" s="44" t="inlineStr">
        <is>
          <t>P121</t>
        </is>
      </c>
      <c r="B429" s="44" t="inlineStr">
        <is>
          <t>bpm</t>
        </is>
      </c>
      <c r="C429" s="44" t="inlineStr">
        <is>
          <t>high</t>
        </is>
      </c>
      <c r="D429" s="44" t="inlineStr">
        <is>
          <t>qa</t>
        </is>
      </c>
      <c r="E429" s="45" t="n">
        <v>70</v>
      </c>
      <c r="F429" s="45" t="n">
        <v>65</v>
      </c>
    </row>
    <row r="430">
      <c r="A430" s="44" t="inlineStr">
        <is>
          <t>P121</t>
        </is>
      </c>
      <c r="B430" s="44" t="inlineStr">
        <is>
          <t>web_portal</t>
        </is>
      </c>
      <c r="C430" s="44" t="inlineStr">
        <is>
          <t>medium</t>
        </is>
      </c>
      <c r="D430" s="44" t="inlineStr">
        <is>
          <t>ba</t>
        </is>
      </c>
      <c r="E430" s="45" t="n">
        <v>17.1</v>
      </c>
      <c r="F430" s="45" t="n">
        <v>21</v>
      </c>
    </row>
    <row r="431">
      <c r="A431" s="44" t="inlineStr">
        <is>
          <t>P121</t>
        </is>
      </c>
      <c r="B431" s="44" t="inlineStr">
        <is>
          <t>web_portal</t>
        </is>
      </c>
      <c r="C431" s="44" t="inlineStr">
        <is>
          <t>medium</t>
        </is>
      </c>
      <c r="D431" s="44" t="inlineStr">
        <is>
          <t>uiux</t>
        </is>
      </c>
      <c r="E431" s="45" t="n">
        <v>64.2</v>
      </c>
      <c r="F431" s="45" t="n">
        <v>72.7</v>
      </c>
    </row>
    <row r="432">
      <c r="A432" s="44" t="inlineStr">
        <is>
          <t>P121</t>
        </is>
      </c>
      <c r="B432" s="44" t="inlineStr">
        <is>
          <t>web_portal</t>
        </is>
      </c>
      <c r="C432" s="44" t="inlineStr">
        <is>
          <t>medium</t>
        </is>
      </c>
      <c r="D432" s="44" t="inlineStr">
        <is>
          <t>fe</t>
        </is>
      </c>
      <c r="E432" s="45" t="n">
        <v>171.2</v>
      </c>
      <c r="F432" s="45" t="n">
        <v>181.2</v>
      </c>
    </row>
    <row r="433">
      <c r="A433" s="44" t="inlineStr">
        <is>
          <t>P121</t>
        </is>
      </c>
      <c r="B433" s="44" t="inlineStr">
        <is>
          <t>web_portal</t>
        </is>
      </c>
      <c r="C433" s="44" t="inlineStr">
        <is>
          <t>medium</t>
        </is>
      </c>
      <c r="D433" s="44" t="inlineStr">
        <is>
          <t>qa</t>
        </is>
      </c>
      <c r="E433" s="45" t="n">
        <v>42.8</v>
      </c>
      <c r="F433" s="45" t="n">
        <v>50.1</v>
      </c>
    </row>
    <row r="434">
      <c r="A434" s="44" t="inlineStr">
        <is>
          <t>P121</t>
        </is>
      </c>
      <c r="B434" s="44" t="inlineStr">
        <is>
          <t>migration</t>
        </is>
      </c>
      <c r="C434" s="44" t="inlineStr">
        <is>
          <t>high</t>
        </is>
      </c>
      <c r="D434" s="44" t="inlineStr">
        <is>
          <t>ba</t>
        </is>
      </c>
      <c r="E434" s="45" t="n">
        <v>24.2</v>
      </c>
      <c r="F434" s="45" t="n">
        <v>26</v>
      </c>
    </row>
    <row r="435">
      <c r="A435" s="44" t="inlineStr">
        <is>
          <t>P121</t>
        </is>
      </c>
      <c r="B435" s="44" t="inlineStr">
        <is>
          <t>migration</t>
        </is>
      </c>
      <c r="C435" s="44" t="inlineStr">
        <is>
          <t>high</t>
        </is>
      </c>
      <c r="D435" s="44" t="inlineStr">
        <is>
          <t>be</t>
        </is>
      </c>
      <c r="E435" s="45" t="n">
        <v>60.5</v>
      </c>
      <c r="F435" s="45" t="n">
        <v>67</v>
      </c>
    </row>
    <row r="436">
      <c r="A436" s="44" t="inlineStr">
        <is>
          <t>P121</t>
        </is>
      </c>
      <c r="B436" s="44" t="inlineStr">
        <is>
          <t>migration</t>
        </is>
      </c>
      <c r="C436" s="44" t="inlineStr">
        <is>
          <t>high</t>
        </is>
      </c>
      <c r="D436" s="44" t="inlineStr">
        <is>
          <t>data</t>
        </is>
      </c>
      <c r="E436" s="45" t="n">
        <v>96.90000000000001</v>
      </c>
      <c r="F436" s="45" t="n">
        <v>116.7</v>
      </c>
    </row>
    <row r="437">
      <c r="A437" s="44" t="inlineStr">
        <is>
          <t>P121</t>
        </is>
      </c>
      <c r="B437" s="44" t="inlineStr">
        <is>
          <t>migration</t>
        </is>
      </c>
      <c r="C437" s="44" t="inlineStr">
        <is>
          <t>high</t>
        </is>
      </c>
      <c r="D437" s="44" t="inlineStr">
        <is>
          <t>qa</t>
        </is>
      </c>
      <c r="E437" s="45" t="n">
        <v>48.4</v>
      </c>
      <c r="F437" s="45" t="n">
        <v>53.5</v>
      </c>
    </row>
    <row r="438">
      <c r="A438" s="44" t="inlineStr">
        <is>
          <t>P121</t>
        </is>
      </c>
      <c r="B438" s="44" t="inlineStr">
        <is>
          <t>auth</t>
        </is>
      </c>
      <c r="C438" s="44" t="inlineStr">
        <is>
          <t>medium</t>
        </is>
      </c>
      <c r="D438" s="44" t="inlineStr">
        <is>
          <t>ba</t>
        </is>
      </c>
      <c r="E438" s="45" t="n">
        <v>7.9</v>
      </c>
      <c r="F438" s="45" t="n">
        <v>8.300000000000001</v>
      </c>
    </row>
    <row r="439">
      <c r="A439" s="44" t="inlineStr">
        <is>
          <t>P121</t>
        </is>
      </c>
      <c r="B439" s="44" t="inlineStr">
        <is>
          <t>auth</t>
        </is>
      </c>
      <c r="C439" s="44" t="inlineStr">
        <is>
          <t>medium</t>
        </is>
      </c>
      <c r="D439" s="44" t="inlineStr">
        <is>
          <t>uiux</t>
        </is>
      </c>
      <c r="E439" s="45" t="n">
        <v>11.8</v>
      </c>
      <c r="F439" s="45" t="n">
        <v>12.9</v>
      </c>
    </row>
    <row r="440">
      <c r="A440" s="44" t="inlineStr">
        <is>
          <t>P121</t>
        </is>
      </c>
      <c r="B440" s="44" t="inlineStr">
        <is>
          <t>auth</t>
        </is>
      </c>
      <c r="C440" s="44" t="inlineStr">
        <is>
          <t>medium</t>
        </is>
      </c>
      <c r="D440" s="44" t="inlineStr">
        <is>
          <t>fe</t>
        </is>
      </c>
      <c r="E440" s="45" t="n">
        <v>39.4</v>
      </c>
      <c r="F440" s="45" t="n">
        <v>45.6</v>
      </c>
    </row>
    <row r="441">
      <c r="A441" s="44" t="inlineStr">
        <is>
          <t>P121</t>
        </is>
      </c>
      <c r="B441" s="44" t="inlineStr">
        <is>
          <t>auth</t>
        </is>
      </c>
      <c r="C441" s="44" t="inlineStr">
        <is>
          <t>medium</t>
        </is>
      </c>
      <c r="D441" s="44" t="inlineStr">
        <is>
          <t>be</t>
        </is>
      </c>
      <c r="E441" s="45" t="n">
        <v>55.1</v>
      </c>
      <c r="F441" s="45" t="n">
        <v>65.90000000000001</v>
      </c>
    </row>
    <row r="442">
      <c r="A442" s="44" t="inlineStr">
        <is>
          <t>P121</t>
        </is>
      </c>
      <c r="B442" s="44" t="inlineStr">
        <is>
          <t>auth</t>
        </is>
      </c>
      <c r="C442" s="44" t="inlineStr">
        <is>
          <t>medium</t>
        </is>
      </c>
      <c r="D442" s="44" t="inlineStr">
        <is>
          <t>qa</t>
        </is>
      </c>
      <c r="E442" s="45" t="n">
        <v>23.6</v>
      </c>
      <c r="F442" s="45" t="n">
        <v>26.4</v>
      </c>
    </row>
    <row r="443">
      <c r="A443" s="44" t="inlineStr">
        <is>
          <t>P121</t>
        </is>
      </c>
      <c r="B443" s="44" t="inlineStr">
        <is>
          <t>compliance</t>
        </is>
      </c>
      <c r="C443" s="44" t="inlineStr">
        <is>
          <t>medium</t>
        </is>
      </c>
      <c r="D443" s="44" t="inlineStr">
        <is>
          <t>ba</t>
        </is>
      </c>
      <c r="E443" s="45" t="n">
        <v>15</v>
      </c>
      <c r="F443" s="45" t="n">
        <v>17.7</v>
      </c>
    </row>
    <row r="444">
      <c r="A444" s="44" t="inlineStr">
        <is>
          <t>P121</t>
        </is>
      </c>
      <c r="B444" s="44" t="inlineStr">
        <is>
          <t>compliance</t>
        </is>
      </c>
      <c r="C444" s="44" t="inlineStr">
        <is>
          <t>medium</t>
        </is>
      </c>
      <c r="D444" s="44" t="inlineStr">
        <is>
          <t>be</t>
        </is>
      </c>
      <c r="E444" s="45" t="n">
        <v>60.1</v>
      </c>
      <c r="F444" s="45" t="n">
        <v>72.3</v>
      </c>
    </row>
    <row r="445">
      <c r="A445" s="44" t="inlineStr">
        <is>
          <t>P121</t>
        </is>
      </c>
      <c r="B445" s="44" t="inlineStr">
        <is>
          <t>compliance</t>
        </is>
      </c>
      <c r="C445" s="44" t="inlineStr">
        <is>
          <t>medium</t>
        </is>
      </c>
      <c r="D445" s="44" t="inlineStr">
        <is>
          <t>devops</t>
        </is>
      </c>
      <c r="E445" s="45" t="n">
        <v>22.5</v>
      </c>
      <c r="F445" s="45" t="n">
        <v>24.5</v>
      </c>
    </row>
    <row r="446">
      <c r="A446" s="44" t="inlineStr">
        <is>
          <t>P121</t>
        </is>
      </c>
      <c r="B446" s="44" t="inlineStr">
        <is>
          <t>compliance</t>
        </is>
      </c>
      <c r="C446" s="44" t="inlineStr">
        <is>
          <t>medium</t>
        </is>
      </c>
      <c r="D446" s="44" t="inlineStr">
        <is>
          <t>qa</t>
        </is>
      </c>
      <c r="E446" s="45" t="n">
        <v>22.5</v>
      </c>
      <c r="F446" s="45" t="n">
        <v>27.9</v>
      </c>
    </row>
    <row r="447">
      <c r="A447" s="44" t="inlineStr">
        <is>
          <t>P121</t>
        </is>
      </c>
      <c r="B447" s="44" t="inlineStr">
        <is>
          <t>management</t>
        </is>
      </c>
      <c r="C447" s="44" t="inlineStr">
        <is>
          <t>medium</t>
        </is>
      </c>
      <c r="D447" s="44" t="inlineStr">
        <is>
          <t>pm</t>
        </is>
      </c>
      <c r="E447" s="45" t="n">
        <v>118.9</v>
      </c>
      <c r="F447" s="45" t="n">
        <v>134.5</v>
      </c>
    </row>
    <row r="448">
      <c r="A448" s="44" t="inlineStr">
        <is>
          <t>P121</t>
        </is>
      </c>
      <c r="B448" s="44" t="inlineStr">
        <is>
          <t>management</t>
        </is>
      </c>
      <c r="C448" s="44" t="inlineStr">
        <is>
          <t>medium</t>
        </is>
      </c>
      <c r="D448" s="44" t="inlineStr">
        <is>
          <t>lead</t>
        </is>
      </c>
      <c r="E448" s="45" t="n">
        <v>71.40000000000001</v>
      </c>
      <c r="F448" s="45" t="n">
        <v>83.5</v>
      </c>
    </row>
    <row r="449">
      <c r="A449" s="44" t="inlineStr">
        <is>
          <t>P122</t>
        </is>
      </c>
      <c r="B449" s="44" t="inlineStr">
        <is>
          <t>web_portal</t>
        </is>
      </c>
      <c r="C449" s="44" t="inlineStr">
        <is>
          <t>low</t>
        </is>
      </c>
      <c r="D449" s="44" t="inlineStr">
        <is>
          <t>ba</t>
        </is>
      </c>
      <c r="E449" s="45" t="n">
        <v>10.9</v>
      </c>
      <c r="F449" s="45" t="n">
        <v>13.8</v>
      </c>
    </row>
    <row r="450">
      <c r="A450" s="44" t="inlineStr">
        <is>
          <t>P122</t>
        </is>
      </c>
      <c r="B450" s="44" t="inlineStr">
        <is>
          <t>web_portal</t>
        </is>
      </c>
      <c r="C450" s="44" t="inlineStr">
        <is>
          <t>low</t>
        </is>
      </c>
      <c r="D450" s="44" t="inlineStr">
        <is>
          <t>uiux</t>
        </is>
      </c>
      <c r="E450" s="45" t="n">
        <v>41</v>
      </c>
      <c r="F450" s="45" t="n">
        <v>39.1</v>
      </c>
    </row>
    <row r="451">
      <c r="A451" s="44" t="inlineStr">
        <is>
          <t>P122</t>
        </is>
      </c>
      <c r="B451" s="44" t="inlineStr">
        <is>
          <t>web_portal</t>
        </is>
      </c>
      <c r="C451" s="44" t="inlineStr">
        <is>
          <t>low</t>
        </is>
      </c>
      <c r="D451" s="44" t="inlineStr">
        <is>
          <t>fe</t>
        </is>
      </c>
      <c r="E451" s="45" t="n">
        <v>109.4</v>
      </c>
      <c r="F451" s="45" t="n">
        <v>132.1</v>
      </c>
    </row>
    <row r="452">
      <c r="A452" s="44" t="inlineStr">
        <is>
          <t>P122</t>
        </is>
      </c>
      <c r="B452" s="44" t="inlineStr">
        <is>
          <t>web_portal</t>
        </is>
      </c>
      <c r="C452" s="44" t="inlineStr">
        <is>
          <t>low</t>
        </is>
      </c>
      <c r="D452" s="44" t="inlineStr">
        <is>
          <t>qa</t>
        </is>
      </c>
      <c r="E452" s="45" t="n">
        <v>27.4</v>
      </c>
      <c r="F452" s="45" t="n">
        <v>30.5</v>
      </c>
    </row>
    <row r="453">
      <c r="A453" s="44" t="inlineStr">
        <is>
          <t>P122</t>
        </is>
      </c>
      <c r="B453" s="44" t="inlineStr">
        <is>
          <t>auth</t>
        </is>
      </c>
      <c r="C453" s="44" t="inlineStr">
        <is>
          <t>low</t>
        </is>
      </c>
      <c r="D453" s="44" t="inlineStr">
        <is>
          <t>ba</t>
        </is>
      </c>
      <c r="E453" s="45" t="n">
        <v>5.5</v>
      </c>
      <c r="F453" s="45" t="n">
        <v>6.1</v>
      </c>
    </row>
    <row r="454">
      <c r="A454" s="44" t="inlineStr">
        <is>
          <t>P122</t>
        </is>
      </c>
      <c r="B454" s="44" t="inlineStr">
        <is>
          <t>auth</t>
        </is>
      </c>
      <c r="C454" s="44" t="inlineStr">
        <is>
          <t>low</t>
        </is>
      </c>
      <c r="D454" s="44" t="inlineStr">
        <is>
          <t>uiux</t>
        </is>
      </c>
      <c r="E454" s="45" t="n">
        <v>8.300000000000001</v>
      </c>
      <c r="F454" s="45" t="n">
        <v>9.5</v>
      </c>
    </row>
    <row r="455">
      <c r="A455" s="44" t="inlineStr">
        <is>
          <t>P122</t>
        </is>
      </c>
      <c r="B455" s="44" t="inlineStr">
        <is>
          <t>auth</t>
        </is>
      </c>
      <c r="C455" s="44" t="inlineStr">
        <is>
          <t>low</t>
        </is>
      </c>
      <c r="D455" s="44" t="inlineStr">
        <is>
          <t>fe</t>
        </is>
      </c>
      <c r="E455" s="45" t="n">
        <v>27.6</v>
      </c>
      <c r="F455" s="45" t="n">
        <v>28.2</v>
      </c>
    </row>
    <row r="456">
      <c r="A456" s="44" t="inlineStr">
        <is>
          <t>P122</t>
        </is>
      </c>
      <c r="B456" s="44" t="inlineStr">
        <is>
          <t>auth</t>
        </is>
      </c>
      <c r="C456" s="44" t="inlineStr">
        <is>
          <t>low</t>
        </is>
      </c>
      <c r="D456" s="44" t="inlineStr">
        <is>
          <t>be</t>
        </is>
      </c>
      <c r="E456" s="45" t="n">
        <v>38.6</v>
      </c>
      <c r="F456" s="45" t="n">
        <v>39.6</v>
      </c>
    </row>
    <row r="457">
      <c r="A457" s="44" t="inlineStr">
        <is>
          <t>P122</t>
        </is>
      </c>
      <c r="B457" s="44" t="inlineStr">
        <is>
          <t>auth</t>
        </is>
      </c>
      <c r="C457" s="44" t="inlineStr">
        <is>
          <t>low</t>
        </is>
      </c>
      <c r="D457" s="44" t="inlineStr">
        <is>
          <t>qa</t>
        </is>
      </c>
      <c r="E457" s="45" t="n">
        <v>16.5</v>
      </c>
      <c r="F457" s="45" t="n">
        <v>19.4</v>
      </c>
    </row>
    <row r="458">
      <c r="A458" s="44" t="inlineStr">
        <is>
          <t>P122</t>
        </is>
      </c>
      <c r="B458" s="44" t="inlineStr">
        <is>
          <t>payments</t>
        </is>
      </c>
      <c r="C458" s="44" t="inlineStr">
        <is>
          <t>medium</t>
        </is>
      </c>
      <c r="D458" s="44" t="inlineStr">
        <is>
          <t>ba</t>
        </is>
      </c>
      <c r="E458" s="45" t="n">
        <v>17</v>
      </c>
      <c r="F458" s="45" t="n">
        <v>21</v>
      </c>
    </row>
    <row r="459">
      <c r="A459" s="44" t="inlineStr">
        <is>
          <t>P122</t>
        </is>
      </c>
      <c r="B459" s="44" t="inlineStr">
        <is>
          <t>payments</t>
        </is>
      </c>
      <c r="C459" s="44" t="inlineStr">
        <is>
          <t>medium</t>
        </is>
      </c>
      <c r="D459" s="44" t="inlineStr">
        <is>
          <t>fe</t>
        </is>
      </c>
      <c r="E459" s="45" t="n">
        <v>34</v>
      </c>
      <c r="F459" s="45" t="n">
        <v>37.5</v>
      </c>
    </row>
    <row r="460">
      <c r="A460" s="44" t="inlineStr">
        <is>
          <t>P122</t>
        </is>
      </c>
      <c r="B460" s="44" t="inlineStr">
        <is>
          <t>payments</t>
        </is>
      </c>
      <c r="C460" s="44" t="inlineStr">
        <is>
          <t>medium</t>
        </is>
      </c>
      <c r="D460" s="44" t="inlineStr">
        <is>
          <t>be</t>
        </is>
      </c>
      <c r="E460" s="45" t="n">
        <v>101.9</v>
      </c>
      <c r="F460" s="45" t="n">
        <v>130.2</v>
      </c>
    </row>
    <row r="461">
      <c r="A461" s="44" t="inlineStr">
        <is>
          <t>P122</t>
        </is>
      </c>
      <c r="B461" s="44" t="inlineStr">
        <is>
          <t>payments</t>
        </is>
      </c>
      <c r="C461" s="44" t="inlineStr">
        <is>
          <t>medium</t>
        </is>
      </c>
      <c r="D461" s="44" t="inlineStr">
        <is>
          <t>qa</t>
        </is>
      </c>
      <c r="E461" s="45" t="n">
        <v>51</v>
      </c>
      <c r="F461" s="45" t="n">
        <v>65</v>
      </c>
    </row>
    <row r="462">
      <c r="A462" s="44" t="inlineStr">
        <is>
          <t>P122</t>
        </is>
      </c>
      <c r="B462" s="44" t="inlineStr">
        <is>
          <t>search</t>
        </is>
      </c>
      <c r="C462" s="44" t="inlineStr">
        <is>
          <t>low</t>
        </is>
      </c>
      <c r="D462" s="44" t="inlineStr">
        <is>
          <t>fe</t>
        </is>
      </c>
      <c r="E462" s="45" t="n">
        <v>22</v>
      </c>
      <c r="F462" s="45" t="n">
        <v>25.5</v>
      </c>
    </row>
    <row r="463">
      <c r="A463" s="44" t="inlineStr">
        <is>
          <t>P122</t>
        </is>
      </c>
      <c r="B463" s="44" t="inlineStr">
        <is>
          <t>search</t>
        </is>
      </c>
      <c r="C463" s="44" t="inlineStr">
        <is>
          <t>low</t>
        </is>
      </c>
      <c r="D463" s="44" t="inlineStr">
        <is>
          <t>be</t>
        </is>
      </c>
      <c r="E463" s="45" t="n">
        <v>30.7</v>
      </c>
      <c r="F463" s="45" t="n">
        <v>35.4</v>
      </c>
    </row>
    <row r="464">
      <c r="A464" s="44" t="inlineStr">
        <is>
          <t>P122</t>
        </is>
      </c>
      <c r="B464" s="44" t="inlineStr">
        <is>
          <t>search</t>
        </is>
      </c>
      <c r="C464" s="44" t="inlineStr">
        <is>
          <t>low</t>
        </is>
      </c>
      <c r="D464" s="44" t="inlineStr">
        <is>
          <t>qa</t>
        </is>
      </c>
      <c r="E464" s="45" t="n">
        <v>11</v>
      </c>
      <c r="F464" s="45" t="n">
        <v>12.5</v>
      </c>
    </row>
    <row r="465">
      <c r="A465" s="44" t="inlineStr">
        <is>
          <t>P122</t>
        </is>
      </c>
      <c r="B465" s="44" t="inlineStr">
        <is>
          <t>admin_panel</t>
        </is>
      </c>
      <c r="C465" s="44" t="inlineStr">
        <is>
          <t>low</t>
        </is>
      </c>
      <c r="D465" s="44" t="inlineStr">
        <is>
          <t>ba</t>
        </is>
      </c>
      <c r="E465" s="45" t="n">
        <v>8.300000000000001</v>
      </c>
      <c r="F465" s="45" t="n">
        <v>10.1</v>
      </c>
    </row>
    <row r="466">
      <c r="A466" s="44" t="inlineStr">
        <is>
          <t>P122</t>
        </is>
      </c>
      <c r="B466" s="44" t="inlineStr">
        <is>
          <t>admin_panel</t>
        </is>
      </c>
      <c r="C466" s="44" t="inlineStr">
        <is>
          <t>low</t>
        </is>
      </c>
      <c r="D466" s="44" t="inlineStr">
        <is>
          <t>uiux</t>
        </is>
      </c>
      <c r="E466" s="45" t="n">
        <v>12.5</v>
      </c>
      <c r="F466" s="45" t="n">
        <v>14.7</v>
      </c>
    </row>
    <row r="467">
      <c r="A467" s="44" t="inlineStr">
        <is>
          <t>P122</t>
        </is>
      </c>
      <c r="B467" s="44" t="inlineStr">
        <is>
          <t>admin_panel</t>
        </is>
      </c>
      <c r="C467" s="44" t="inlineStr">
        <is>
          <t>low</t>
        </is>
      </c>
      <c r="D467" s="44" t="inlineStr">
        <is>
          <t>fe</t>
        </is>
      </c>
      <c r="E467" s="45" t="n">
        <v>41.5</v>
      </c>
      <c r="F467" s="45" t="n">
        <v>46.1</v>
      </c>
    </row>
    <row r="468">
      <c r="A468" s="44" t="inlineStr">
        <is>
          <t>P122</t>
        </is>
      </c>
      <c r="B468" s="44" t="inlineStr">
        <is>
          <t>admin_panel</t>
        </is>
      </c>
      <c r="C468" s="44" t="inlineStr">
        <is>
          <t>low</t>
        </is>
      </c>
      <c r="D468" s="44" t="inlineStr">
        <is>
          <t>be</t>
        </is>
      </c>
      <c r="E468" s="45" t="n">
        <v>37.4</v>
      </c>
      <c r="F468" s="45" t="n">
        <v>41.7</v>
      </c>
    </row>
    <row r="469">
      <c r="A469" s="44" t="inlineStr">
        <is>
          <t>P122</t>
        </is>
      </c>
      <c r="B469" s="44" t="inlineStr">
        <is>
          <t>admin_panel</t>
        </is>
      </c>
      <c r="C469" s="44" t="inlineStr">
        <is>
          <t>low</t>
        </is>
      </c>
      <c r="D469" s="44" t="inlineStr">
        <is>
          <t>qa</t>
        </is>
      </c>
      <c r="E469" s="45" t="n">
        <v>20.8</v>
      </c>
      <c r="F469" s="45" t="n">
        <v>23.7</v>
      </c>
    </row>
    <row r="470">
      <c r="A470" s="44" t="inlineStr">
        <is>
          <t>P122</t>
        </is>
      </c>
      <c r="B470" s="44" t="inlineStr">
        <is>
          <t>management</t>
        </is>
      </c>
      <c r="C470" s="44" t="inlineStr">
        <is>
          <t>medium</t>
        </is>
      </c>
      <c r="D470" s="44" t="inlineStr">
        <is>
          <t>pm</t>
        </is>
      </c>
      <c r="E470" s="45" t="n">
        <v>67.3</v>
      </c>
      <c r="F470" s="45" t="n">
        <v>76.5</v>
      </c>
    </row>
    <row r="471">
      <c r="A471" s="44" t="inlineStr">
        <is>
          <t>P122</t>
        </is>
      </c>
      <c r="B471" s="44" t="inlineStr">
        <is>
          <t>management</t>
        </is>
      </c>
      <c r="C471" s="44" t="inlineStr">
        <is>
          <t>medium</t>
        </is>
      </c>
      <c r="D471" s="44" t="inlineStr">
        <is>
          <t>lead</t>
        </is>
      </c>
      <c r="E471" s="45" t="n">
        <v>40.4</v>
      </c>
      <c r="F471" s="45" t="n">
        <v>47.6</v>
      </c>
    </row>
    <row r="472">
      <c r="A472" s="44" t="inlineStr">
        <is>
          <t>P123</t>
        </is>
      </c>
      <c r="B472" s="44" t="inlineStr">
        <is>
          <t>mobile_app</t>
        </is>
      </c>
      <c r="C472" s="44" t="inlineStr">
        <is>
          <t>low</t>
        </is>
      </c>
      <c r="D472" s="44" t="inlineStr">
        <is>
          <t>uiux</t>
        </is>
      </c>
      <c r="E472" s="45" t="n">
        <v>34.6</v>
      </c>
      <c r="F472" s="45" t="n">
        <v>42.9</v>
      </c>
    </row>
    <row r="473">
      <c r="A473" s="44" t="inlineStr">
        <is>
          <t>P123</t>
        </is>
      </c>
      <c r="B473" s="44" t="inlineStr">
        <is>
          <t>mobile_app</t>
        </is>
      </c>
      <c r="C473" s="44" t="inlineStr">
        <is>
          <t>low</t>
        </is>
      </c>
      <c r="D473" s="44" t="inlineStr">
        <is>
          <t>mobile</t>
        </is>
      </c>
      <c r="E473" s="45" t="n">
        <v>184.5</v>
      </c>
      <c r="F473" s="45" t="n">
        <v>235.9</v>
      </c>
    </row>
    <row r="474">
      <c r="A474" s="44" t="inlineStr">
        <is>
          <t>P123</t>
        </is>
      </c>
      <c r="B474" s="44" t="inlineStr">
        <is>
          <t>mobile_app</t>
        </is>
      </c>
      <c r="C474" s="44" t="inlineStr">
        <is>
          <t>low</t>
        </is>
      </c>
      <c r="D474" s="44" t="inlineStr">
        <is>
          <t>be</t>
        </is>
      </c>
      <c r="E474" s="45" t="n">
        <v>23.1</v>
      </c>
      <c r="F474" s="45" t="n">
        <v>29.3</v>
      </c>
    </row>
    <row r="475">
      <c r="A475" s="44" t="inlineStr">
        <is>
          <t>P123</t>
        </is>
      </c>
      <c r="B475" s="44" t="inlineStr">
        <is>
          <t>mobile_app</t>
        </is>
      </c>
      <c r="C475" s="44" t="inlineStr">
        <is>
          <t>low</t>
        </is>
      </c>
      <c r="D475" s="44" t="inlineStr">
        <is>
          <t>qa</t>
        </is>
      </c>
      <c r="E475" s="45" t="n">
        <v>69.2</v>
      </c>
      <c r="F475" s="45" t="n">
        <v>74.5</v>
      </c>
    </row>
    <row r="476">
      <c r="A476" s="44" t="inlineStr">
        <is>
          <t>P123</t>
        </is>
      </c>
      <c r="B476" s="44" t="inlineStr">
        <is>
          <t>auth</t>
        </is>
      </c>
      <c r="C476" s="44" t="inlineStr">
        <is>
          <t>low</t>
        </is>
      </c>
      <c r="D476" s="44" t="inlineStr">
        <is>
          <t>ba</t>
        </is>
      </c>
      <c r="E476" s="45" t="n">
        <v>4.8</v>
      </c>
      <c r="F476" s="45" t="n">
        <v>5.5</v>
      </c>
    </row>
    <row r="477">
      <c r="A477" s="44" t="inlineStr">
        <is>
          <t>P123</t>
        </is>
      </c>
      <c r="B477" s="44" t="inlineStr">
        <is>
          <t>auth</t>
        </is>
      </c>
      <c r="C477" s="44" t="inlineStr">
        <is>
          <t>low</t>
        </is>
      </c>
      <c r="D477" s="44" t="inlineStr">
        <is>
          <t>uiux</t>
        </is>
      </c>
      <c r="E477" s="45" t="n">
        <v>7.2</v>
      </c>
      <c r="F477" s="45" t="n">
        <v>9.4</v>
      </c>
    </row>
    <row r="478">
      <c r="A478" s="44" t="inlineStr">
        <is>
          <t>P123</t>
        </is>
      </c>
      <c r="B478" s="44" t="inlineStr">
        <is>
          <t>auth</t>
        </is>
      </c>
      <c r="C478" s="44" t="inlineStr">
        <is>
          <t>low</t>
        </is>
      </c>
      <c r="D478" s="44" t="inlineStr">
        <is>
          <t>fe</t>
        </is>
      </c>
      <c r="E478" s="45" t="n">
        <v>24</v>
      </c>
      <c r="F478" s="45" t="n">
        <v>31.4</v>
      </c>
    </row>
    <row r="479">
      <c r="A479" s="44" t="inlineStr">
        <is>
          <t>P123</t>
        </is>
      </c>
      <c r="B479" s="44" t="inlineStr">
        <is>
          <t>auth</t>
        </is>
      </c>
      <c r="C479" s="44" t="inlineStr">
        <is>
          <t>low</t>
        </is>
      </c>
      <c r="D479" s="44" t="inlineStr">
        <is>
          <t>be</t>
        </is>
      </c>
      <c r="E479" s="45" t="n">
        <v>33.6</v>
      </c>
      <c r="F479" s="45" t="n">
        <v>42.4</v>
      </c>
    </row>
    <row r="480">
      <c r="A480" s="44" t="inlineStr">
        <is>
          <t>P123</t>
        </is>
      </c>
      <c r="B480" s="44" t="inlineStr">
        <is>
          <t>auth</t>
        </is>
      </c>
      <c r="C480" s="44" t="inlineStr">
        <is>
          <t>low</t>
        </is>
      </c>
      <c r="D480" s="44" t="inlineStr">
        <is>
          <t>qa</t>
        </is>
      </c>
      <c r="E480" s="45" t="n">
        <v>14.4</v>
      </c>
      <c r="F480" s="45" t="n">
        <v>15.1</v>
      </c>
    </row>
    <row r="481">
      <c r="A481" s="44" t="inlineStr">
        <is>
          <t>P123</t>
        </is>
      </c>
      <c r="B481" s="44" t="inlineStr">
        <is>
          <t>payments</t>
        </is>
      </c>
      <c r="C481" s="44" t="inlineStr">
        <is>
          <t>medium</t>
        </is>
      </c>
      <c r="D481" s="44" t="inlineStr">
        <is>
          <t>ba</t>
        </is>
      </c>
      <c r="E481" s="45" t="n">
        <v>15.8</v>
      </c>
      <c r="F481" s="45" t="n">
        <v>16.8</v>
      </c>
    </row>
    <row r="482">
      <c r="A482" s="44" t="inlineStr">
        <is>
          <t>P123</t>
        </is>
      </c>
      <c r="B482" s="44" t="inlineStr">
        <is>
          <t>payments</t>
        </is>
      </c>
      <c r="C482" s="44" t="inlineStr">
        <is>
          <t>medium</t>
        </is>
      </c>
      <c r="D482" s="44" t="inlineStr">
        <is>
          <t>fe</t>
        </is>
      </c>
      <c r="E482" s="45" t="n">
        <v>31.7</v>
      </c>
      <c r="F482" s="45" t="n">
        <v>41.9</v>
      </c>
    </row>
    <row r="483">
      <c r="A483" s="44" t="inlineStr">
        <is>
          <t>P123</t>
        </is>
      </c>
      <c r="B483" s="44" t="inlineStr">
        <is>
          <t>payments</t>
        </is>
      </c>
      <c r="C483" s="44" t="inlineStr">
        <is>
          <t>medium</t>
        </is>
      </c>
      <c r="D483" s="44" t="inlineStr">
        <is>
          <t>be</t>
        </is>
      </c>
      <c r="E483" s="45" t="n">
        <v>95</v>
      </c>
      <c r="F483" s="45" t="n">
        <v>129.9</v>
      </c>
    </row>
    <row r="484">
      <c r="A484" s="44" t="inlineStr">
        <is>
          <t>P123</t>
        </is>
      </c>
      <c r="B484" s="44" t="inlineStr">
        <is>
          <t>payments</t>
        </is>
      </c>
      <c r="C484" s="44" t="inlineStr">
        <is>
          <t>medium</t>
        </is>
      </c>
      <c r="D484" s="44" t="inlineStr">
        <is>
          <t>qa</t>
        </is>
      </c>
      <c r="E484" s="45" t="n">
        <v>47.5</v>
      </c>
      <c r="F484" s="45" t="n">
        <v>68.7</v>
      </c>
    </row>
    <row r="485">
      <c r="A485" s="44" t="inlineStr">
        <is>
          <t>P123</t>
        </is>
      </c>
      <c r="B485" s="44" t="inlineStr">
        <is>
          <t>notifications</t>
        </is>
      </c>
      <c r="C485" s="44" t="inlineStr">
        <is>
          <t>low</t>
        </is>
      </c>
      <c r="D485" s="44" t="inlineStr">
        <is>
          <t>be</t>
        </is>
      </c>
      <c r="E485" s="45" t="n">
        <v>23</v>
      </c>
      <c r="F485" s="45" t="n">
        <v>28.5</v>
      </c>
    </row>
    <row r="486">
      <c r="A486" s="44" t="inlineStr">
        <is>
          <t>P123</t>
        </is>
      </c>
      <c r="B486" s="44" t="inlineStr">
        <is>
          <t>notifications</t>
        </is>
      </c>
      <c r="C486" s="44" t="inlineStr">
        <is>
          <t>low</t>
        </is>
      </c>
      <c r="D486" s="44" t="inlineStr">
        <is>
          <t>mobile</t>
        </is>
      </c>
      <c r="E486" s="45" t="n">
        <v>9.199999999999999</v>
      </c>
      <c r="F486" s="45" t="n">
        <v>11.5</v>
      </c>
    </row>
    <row r="487">
      <c r="A487" s="44" t="inlineStr">
        <is>
          <t>P123</t>
        </is>
      </c>
      <c r="B487" s="44" t="inlineStr">
        <is>
          <t>notifications</t>
        </is>
      </c>
      <c r="C487" s="44" t="inlineStr">
        <is>
          <t>low</t>
        </is>
      </c>
      <c r="D487" s="44" t="inlineStr">
        <is>
          <t>qa</t>
        </is>
      </c>
      <c r="E487" s="45" t="n">
        <v>9.199999999999999</v>
      </c>
      <c r="F487" s="45" t="n">
        <v>10.8</v>
      </c>
    </row>
    <row r="488">
      <c r="A488" s="44" t="inlineStr">
        <is>
          <t>P123</t>
        </is>
      </c>
      <c r="B488" s="44" t="inlineStr">
        <is>
          <t>management</t>
        </is>
      </c>
      <c r="C488" s="44" t="inlineStr">
        <is>
          <t>medium</t>
        </is>
      </c>
      <c r="D488" s="44" t="inlineStr">
        <is>
          <t>pm</t>
        </is>
      </c>
      <c r="E488" s="45" t="n">
        <v>62.7</v>
      </c>
      <c r="F488" s="45" t="n">
        <v>68.40000000000001</v>
      </c>
    </row>
    <row r="489">
      <c r="A489" s="44" t="inlineStr">
        <is>
          <t>P123</t>
        </is>
      </c>
      <c r="B489" s="44" t="inlineStr">
        <is>
          <t>management</t>
        </is>
      </c>
      <c r="C489" s="44" t="inlineStr">
        <is>
          <t>medium</t>
        </is>
      </c>
      <c r="D489" s="44" t="inlineStr">
        <is>
          <t>lead</t>
        </is>
      </c>
      <c r="E489" s="45" t="n">
        <v>37.6</v>
      </c>
      <c r="F489" s="45" t="n">
        <v>39.7</v>
      </c>
    </row>
    <row r="490">
      <c r="A490" s="44" t="inlineStr">
        <is>
          <t>P124</t>
        </is>
      </c>
      <c r="B490" s="44" t="inlineStr">
        <is>
          <t>tracking</t>
        </is>
      </c>
      <c r="C490" s="44" t="inlineStr">
        <is>
          <t>high</t>
        </is>
      </c>
      <c r="D490" s="44" t="inlineStr">
        <is>
          <t>be</t>
        </is>
      </c>
      <c r="E490" s="45" t="n">
        <v>112.5</v>
      </c>
      <c r="F490" s="45" t="n">
        <v>140</v>
      </c>
    </row>
    <row r="491">
      <c r="A491" s="44" t="inlineStr">
        <is>
          <t>P124</t>
        </is>
      </c>
      <c r="B491" s="44" t="inlineStr">
        <is>
          <t>tracking</t>
        </is>
      </c>
      <c r="C491" s="44" t="inlineStr">
        <is>
          <t>high</t>
        </is>
      </c>
      <c r="D491" s="44" t="inlineStr">
        <is>
          <t>data</t>
        </is>
      </c>
      <c r="E491" s="45" t="n">
        <v>112.5</v>
      </c>
      <c r="F491" s="45" t="n">
        <v>136.6</v>
      </c>
    </row>
    <row r="492">
      <c r="A492" s="44" t="inlineStr">
        <is>
          <t>P124</t>
        </is>
      </c>
      <c r="B492" s="44" t="inlineStr">
        <is>
          <t>tracking</t>
        </is>
      </c>
      <c r="C492" s="44" t="inlineStr">
        <is>
          <t>high</t>
        </is>
      </c>
      <c r="D492" s="44" t="inlineStr">
        <is>
          <t>devops</t>
        </is>
      </c>
      <c r="E492" s="45" t="n">
        <v>45</v>
      </c>
      <c r="F492" s="45" t="n">
        <v>58.5</v>
      </c>
    </row>
    <row r="493">
      <c r="A493" s="44" t="inlineStr">
        <is>
          <t>P124</t>
        </is>
      </c>
      <c r="B493" s="44" t="inlineStr">
        <is>
          <t>tracking</t>
        </is>
      </c>
      <c r="C493" s="44" t="inlineStr">
        <is>
          <t>high</t>
        </is>
      </c>
      <c r="D493" s="44" t="inlineStr">
        <is>
          <t>qa</t>
        </is>
      </c>
      <c r="E493" s="45" t="n">
        <v>33.7</v>
      </c>
      <c r="F493" s="45" t="n">
        <v>39</v>
      </c>
    </row>
    <row r="494">
      <c r="A494" s="44" t="inlineStr">
        <is>
          <t>P124</t>
        </is>
      </c>
      <c r="B494" s="44" t="inlineStr">
        <is>
          <t>etl</t>
        </is>
      </c>
      <c r="C494" s="44" t="inlineStr">
        <is>
          <t>high</t>
        </is>
      </c>
      <c r="D494" s="44" t="inlineStr">
        <is>
          <t>be</t>
        </is>
      </c>
      <c r="E494" s="45" t="n">
        <v>36.4</v>
      </c>
      <c r="F494" s="45" t="n">
        <v>42.1</v>
      </c>
    </row>
    <row r="495">
      <c r="A495" s="44" t="inlineStr">
        <is>
          <t>P124</t>
        </is>
      </c>
      <c r="B495" s="44" t="inlineStr">
        <is>
          <t>etl</t>
        </is>
      </c>
      <c r="C495" s="44" t="inlineStr">
        <is>
          <t>high</t>
        </is>
      </c>
      <c r="D495" s="44" t="inlineStr">
        <is>
          <t>data</t>
        </is>
      </c>
      <c r="E495" s="45" t="n">
        <v>181.9</v>
      </c>
      <c r="F495" s="45" t="n">
        <v>196.7</v>
      </c>
    </row>
    <row r="496">
      <c r="A496" s="44" t="inlineStr">
        <is>
          <t>P124</t>
        </is>
      </c>
      <c r="B496" s="44" t="inlineStr">
        <is>
          <t>etl</t>
        </is>
      </c>
      <c r="C496" s="44" t="inlineStr">
        <is>
          <t>high</t>
        </is>
      </c>
      <c r="D496" s="44" t="inlineStr">
        <is>
          <t>devops</t>
        </is>
      </c>
      <c r="E496" s="45" t="n">
        <v>24.3</v>
      </c>
      <c r="F496" s="45" t="n">
        <v>25.7</v>
      </c>
    </row>
    <row r="497">
      <c r="A497" s="44" t="inlineStr">
        <is>
          <t>P124</t>
        </is>
      </c>
      <c r="B497" s="44" t="inlineStr">
        <is>
          <t>etl</t>
        </is>
      </c>
      <c r="C497" s="44" t="inlineStr">
        <is>
          <t>high</t>
        </is>
      </c>
      <c r="D497" s="44" t="inlineStr">
        <is>
          <t>qa</t>
        </is>
      </c>
      <c r="E497" s="45" t="n">
        <v>36.4</v>
      </c>
      <c r="F497" s="45" t="n">
        <v>44.8</v>
      </c>
    </row>
    <row r="498">
      <c r="A498" s="44" t="inlineStr">
        <is>
          <t>P124</t>
        </is>
      </c>
      <c r="B498" s="44" t="inlineStr">
        <is>
          <t>reporting</t>
        </is>
      </c>
      <c r="C498" s="44" t="inlineStr">
        <is>
          <t>medium</t>
        </is>
      </c>
      <c r="D498" s="44" t="inlineStr">
        <is>
          <t>uiux</t>
        </is>
      </c>
      <c r="E498" s="45" t="n">
        <v>14.1</v>
      </c>
      <c r="F498" s="45" t="n">
        <v>17.6</v>
      </c>
    </row>
    <row r="499">
      <c r="A499" s="44" t="inlineStr">
        <is>
          <t>P124</t>
        </is>
      </c>
      <c r="B499" s="44" t="inlineStr">
        <is>
          <t>reporting</t>
        </is>
      </c>
      <c r="C499" s="44" t="inlineStr">
        <is>
          <t>medium</t>
        </is>
      </c>
      <c r="D499" s="44" t="inlineStr">
        <is>
          <t>fe</t>
        </is>
      </c>
      <c r="E499" s="45" t="n">
        <v>49.3</v>
      </c>
      <c r="F499" s="45" t="n">
        <v>57.3</v>
      </c>
    </row>
    <row r="500">
      <c r="A500" s="44" t="inlineStr">
        <is>
          <t>P124</t>
        </is>
      </c>
      <c r="B500" s="44" t="inlineStr">
        <is>
          <t>reporting</t>
        </is>
      </c>
      <c r="C500" s="44" t="inlineStr">
        <is>
          <t>medium</t>
        </is>
      </c>
      <c r="D500" s="44" t="inlineStr">
        <is>
          <t>be</t>
        </is>
      </c>
      <c r="E500" s="45" t="n">
        <v>35.2</v>
      </c>
      <c r="F500" s="45" t="n">
        <v>41.7</v>
      </c>
    </row>
    <row r="501">
      <c r="A501" s="44" t="inlineStr">
        <is>
          <t>P124</t>
        </is>
      </c>
      <c r="B501" s="44" t="inlineStr">
        <is>
          <t>reporting</t>
        </is>
      </c>
      <c r="C501" s="44" t="inlineStr">
        <is>
          <t>medium</t>
        </is>
      </c>
      <c r="D501" s="44" t="inlineStr">
        <is>
          <t>data</t>
        </is>
      </c>
      <c r="E501" s="45" t="n">
        <v>35.2</v>
      </c>
      <c r="F501" s="45" t="n">
        <v>42.3</v>
      </c>
    </row>
    <row r="502">
      <c r="A502" s="44" t="inlineStr">
        <is>
          <t>P124</t>
        </is>
      </c>
      <c r="B502" s="44" t="inlineStr">
        <is>
          <t>reporting</t>
        </is>
      </c>
      <c r="C502" s="44" t="inlineStr">
        <is>
          <t>medium</t>
        </is>
      </c>
      <c r="D502" s="44" t="inlineStr">
        <is>
          <t>qa</t>
        </is>
      </c>
      <c r="E502" s="45" t="n">
        <v>21.1</v>
      </c>
      <c r="F502" s="45" t="n">
        <v>27.7</v>
      </c>
    </row>
    <row r="503">
      <c r="A503" s="44" t="inlineStr">
        <is>
          <t>P124</t>
        </is>
      </c>
      <c r="B503" s="44" t="inlineStr">
        <is>
          <t>cloud_infra</t>
        </is>
      </c>
      <c r="C503" s="44" t="inlineStr">
        <is>
          <t>high</t>
        </is>
      </c>
      <c r="D503" s="44" t="inlineStr">
        <is>
          <t>be</t>
        </is>
      </c>
      <c r="E503" s="45" t="n">
        <v>26.1</v>
      </c>
      <c r="F503" s="45" t="n">
        <v>31.8</v>
      </c>
    </row>
    <row r="504">
      <c r="A504" s="44" t="inlineStr">
        <is>
          <t>P124</t>
        </is>
      </c>
      <c r="B504" s="44" t="inlineStr">
        <is>
          <t>cloud_infra</t>
        </is>
      </c>
      <c r="C504" s="44" t="inlineStr">
        <is>
          <t>high</t>
        </is>
      </c>
      <c r="D504" s="44" t="inlineStr">
        <is>
          <t>devops</t>
        </is>
      </c>
      <c r="E504" s="45" t="n">
        <v>130.6</v>
      </c>
      <c r="F504" s="45" t="n">
        <v>159.6</v>
      </c>
    </row>
    <row r="505">
      <c r="A505" s="44" t="inlineStr">
        <is>
          <t>P124</t>
        </is>
      </c>
      <c r="B505" s="44" t="inlineStr">
        <is>
          <t>management</t>
        </is>
      </c>
      <c r="C505" s="44" t="inlineStr">
        <is>
          <t>medium</t>
        </is>
      </c>
      <c r="D505" s="44" t="inlineStr">
        <is>
          <t>pm</t>
        </is>
      </c>
      <c r="E505" s="45" t="n">
        <v>89.40000000000001</v>
      </c>
      <c r="F505" s="45" t="n">
        <v>89.7</v>
      </c>
    </row>
    <row r="506">
      <c r="A506" s="44" t="inlineStr">
        <is>
          <t>P124</t>
        </is>
      </c>
      <c r="B506" s="44" t="inlineStr">
        <is>
          <t>management</t>
        </is>
      </c>
      <c r="C506" s="44" t="inlineStr">
        <is>
          <t>medium</t>
        </is>
      </c>
      <c r="D506" s="44" t="inlineStr">
        <is>
          <t>lead</t>
        </is>
      </c>
      <c r="E506" s="45" t="n">
        <v>53.7</v>
      </c>
      <c r="F506" s="45" t="n">
        <v>59.6</v>
      </c>
    </row>
    <row r="507">
      <c r="A507" s="44" t="inlineStr">
        <is>
          <t>P125</t>
        </is>
      </c>
      <c r="B507" s="44" t="inlineStr">
        <is>
          <t>reporting</t>
        </is>
      </c>
      <c r="C507" s="44" t="inlineStr">
        <is>
          <t>high</t>
        </is>
      </c>
      <c r="D507" s="44" t="inlineStr">
        <is>
          <t>uiux</t>
        </is>
      </c>
      <c r="E507" s="45" t="n">
        <v>27.6</v>
      </c>
      <c r="F507" s="45" t="n">
        <v>30.4</v>
      </c>
    </row>
    <row r="508">
      <c r="A508" s="44" t="inlineStr">
        <is>
          <t>P125</t>
        </is>
      </c>
      <c r="B508" s="44" t="inlineStr">
        <is>
          <t>reporting</t>
        </is>
      </c>
      <c r="C508" s="44" t="inlineStr">
        <is>
          <t>high</t>
        </is>
      </c>
      <c r="D508" s="44" t="inlineStr">
        <is>
          <t>fe</t>
        </is>
      </c>
      <c r="E508" s="45" t="n">
        <v>96.7</v>
      </c>
      <c r="F508" s="45" t="n">
        <v>93.40000000000001</v>
      </c>
    </row>
    <row r="509">
      <c r="A509" s="44" t="inlineStr">
        <is>
          <t>P125</t>
        </is>
      </c>
      <c r="B509" s="44" t="inlineStr">
        <is>
          <t>reporting</t>
        </is>
      </c>
      <c r="C509" s="44" t="inlineStr">
        <is>
          <t>high</t>
        </is>
      </c>
      <c r="D509" s="44" t="inlineStr">
        <is>
          <t>be</t>
        </is>
      </c>
      <c r="E509" s="45" t="n">
        <v>69.09999999999999</v>
      </c>
      <c r="F509" s="45" t="n">
        <v>65.40000000000001</v>
      </c>
    </row>
    <row r="510">
      <c r="A510" s="44" t="inlineStr">
        <is>
          <t>P125</t>
        </is>
      </c>
      <c r="B510" s="44" t="inlineStr">
        <is>
          <t>reporting</t>
        </is>
      </c>
      <c r="C510" s="44" t="inlineStr">
        <is>
          <t>high</t>
        </is>
      </c>
      <c r="D510" s="44" t="inlineStr">
        <is>
          <t>data</t>
        </is>
      </c>
      <c r="E510" s="45" t="n">
        <v>69.09999999999999</v>
      </c>
      <c r="F510" s="45" t="n">
        <v>74.5</v>
      </c>
    </row>
    <row r="511">
      <c r="A511" s="44" t="inlineStr">
        <is>
          <t>P125</t>
        </is>
      </c>
      <c r="B511" s="44" t="inlineStr">
        <is>
          <t>reporting</t>
        </is>
      </c>
      <c r="C511" s="44" t="inlineStr">
        <is>
          <t>high</t>
        </is>
      </c>
      <c r="D511" s="44" t="inlineStr">
        <is>
          <t>qa</t>
        </is>
      </c>
      <c r="E511" s="45" t="n">
        <v>41.4</v>
      </c>
      <c r="F511" s="45" t="n">
        <v>44.6</v>
      </c>
    </row>
    <row r="512">
      <c r="A512" s="44" t="inlineStr">
        <is>
          <t>P125</t>
        </is>
      </c>
      <c r="B512" s="44" t="inlineStr">
        <is>
          <t>tracking</t>
        </is>
      </c>
      <c r="C512" s="44" t="inlineStr">
        <is>
          <t>medium</t>
        </is>
      </c>
      <c r="D512" s="44" t="inlineStr">
        <is>
          <t>be</t>
        </is>
      </c>
      <c r="E512" s="45" t="n">
        <v>76.90000000000001</v>
      </c>
      <c r="F512" s="45" t="n">
        <v>76.40000000000001</v>
      </c>
    </row>
    <row r="513">
      <c r="A513" s="44" t="inlineStr">
        <is>
          <t>P125</t>
        </is>
      </c>
      <c r="B513" s="44" t="inlineStr">
        <is>
          <t>tracking</t>
        </is>
      </c>
      <c r="C513" s="44" t="inlineStr">
        <is>
          <t>medium</t>
        </is>
      </c>
      <c r="D513" s="44" t="inlineStr">
        <is>
          <t>data</t>
        </is>
      </c>
      <c r="E513" s="45" t="n">
        <v>76.90000000000001</v>
      </c>
      <c r="F513" s="45" t="n">
        <v>74.59999999999999</v>
      </c>
    </row>
    <row r="514">
      <c r="A514" s="44" t="inlineStr">
        <is>
          <t>P125</t>
        </is>
      </c>
      <c r="B514" s="44" t="inlineStr">
        <is>
          <t>tracking</t>
        </is>
      </c>
      <c r="C514" s="44" t="inlineStr">
        <is>
          <t>medium</t>
        </is>
      </c>
      <c r="D514" s="44" t="inlineStr">
        <is>
          <t>devops</t>
        </is>
      </c>
      <c r="E514" s="45" t="n">
        <v>30.7</v>
      </c>
      <c r="F514" s="45" t="n">
        <v>31.4</v>
      </c>
    </row>
    <row r="515">
      <c r="A515" s="44" t="inlineStr">
        <is>
          <t>P125</t>
        </is>
      </c>
      <c r="B515" s="44" t="inlineStr">
        <is>
          <t>tracking</t>
        </is>
      </c>
      <c r="C515" s="44" t="inlineStr">
        <is>
          <t>medium</t>
        </is>
      </c>
      <c r="D515" s="44" t="inlineStr">
        <is>
          <t>qa</t>
        </is>
      </c>
      <c r="E515" s="45" t="n">
        <v>23.1</v>
      </c>
      <c r="F515" s="45" t="n">
        <v>24.3</v>
      </c>
    </row>
    <row r="516">
      <c r="A516" s="44" t="inlineStr">
        <is>
          <t>P125</t>
        </is>
      </c>
      <c r="B516" s="44" t="inlineStr">
        <is>
          <t>realtime</t>
        </is>
      </c>
      <c r="C516" s="44" t="inlineStr">
        <is>
          <t>medium</t>
        </is>
      </c>
      <c r="D516" s="44" t="inlineStr">
        <is>
          <t>fe</t>
        </is>
      </c>
      <c r="E516" s="45" t="n">
        <v>41.1</v>
      </c>
      <c r="F516" s="45" t="n">
        <v>43.2</v>
      </c>
    </row>
    <row r="517">
      <c r="A517" s="44" t="inlineStr">
        <is>
          <t>P125</t>
        </is>
      </c>
      <c r="B517" s="44" t="inlineStr">
        <is>
          <t>realtime</t>
        </is>
      </c>
      <c r="C517" s="44" t="inlineStr">
        <is>
          <t>medium</t>
        </is>
      </c>
      <c r="D517" s="44" t="inlineStr">
        <is>
          <t>be</t>
        </is>
      </c>
      <c r="E517" s="45" t="n">
        <v>82.3</v>
      </c>
      <c r="F517" s="45" t="n">
        <v>85.8</v>
      </c>
    </row>
    <row r="518">
      <c r="A518" s="44" t="inlineStr">
        <is>
          <t>P125</t>
        </is>
      </c>
      <c r="B518" s="44" t="inlineStr">
        <is>
          <t>realtime</t>
        </is>
      </c>
      <c r="C518" s="44" t="inlineStr">
        <is>
          <t>medium</t>
        </is>
      </c>
      <c r="D518" s="44" t="inlineStr">
        <is>
          <t>devops</t>
        </is>
      </c>
      <c r="E518" s="45" t="n">
        <v>16.5</v>
      </c>
      <c r="F518" s="45" t="n">
        <v>15.5</v>
      </c>
    </row>
    <row r="519">
      <c r="A519" s="44" t="inlineStr">
        <is>
          <t>P125</t>
        </is>
      </c>
      <c r="B519" s="44" t="inlineStr">
        <is>
          <t>realtime</t>
        </is>
      </c>
      <c r="C519" s="44" t="inlineStr">
        <is>
          <t>medium</t>
        </is>
      </c>
      <c r="D519" s="44" t="inlineStr">
        <is>
          <t>qa</t>
        </is>
      </c>
      <c r="E519" s="45" t="n">
        <v>32.9</v>
      </c>
      <c r="F519" s="45" t="n">
        <v>36.7</v>
      </c>
    </row>
    <row r="520">
      <c r="A520" s="44" t="inlineStr">
        <is>
          <t>P125</t>
        </is>
      </c>
      <c r="B520" s="44" t="inlineStr">
        <is>
          <t>auth</t>
        </is>
      </c>
      <c r="C520" s="44" t="inlineStr">
        <is>
          <t>low</t>
        </is>
      </c>
      <c r="D520" s="44" t="inlineStr">
        <is>
          <t>ba</t>
        </is>
      </c>
      <c r="E520" s="45" t="n">
        <v>4.2</v>
      </c>
      <c r="F520" s="45" t="n">
        <v>4.7</v>
      </c>
    </row>
    <row r="521">
      <c r="A521" s="44" t="inlineStr">
        <is>
          <t>P125</t>
        </is>
      </c>
      <c r="B521" s="44" t="inlineStr">
        <is>
          <t>auth</t>
        </is>
      </c>
      <c r="C521" s="44" t="inlineStr">
        <is>
          <t>low</t>
        </is>
      </c>
      <c r="D521" s="44" t="inlineStr">
        <is>
          <t>uiux</t>
        </is>
      </c>
      <c r="E521" s="45" t="n">
        <v>6.2</v>
      </c>
      <c r="F521" s="45" t="n">
        <v>6.5</v>
      </c>
    </row>
    <row r="522">
      <c r="A522" s="44" t="inlineStr">
        <is>
          <t>P125</t>
        </is>
      </c>
      <c r="B522" s="44" t="inlineStr">
        <is>
          <t>auth</t>
        </is>
      </c>
      <c r="C522" s="44" t="inlineStr">
        <is>
          <t>low</t>
        </is>
      </c>
      <c r="D522" s="44" t="inlineStr">
        <is>
          <t>fe</t>
        </is>
      </c>
      <c r="E522" s="45" t="n">
        <v>20.8</v>
      </c>
      <c r="F522" s="45" t="n">
        <v>19.5</v>
      </c>
    </row>
    <row r="523">
      <c r="A523" s="44" t="inlineStr">
        <is>
          <t>P125</t>
        </is>
      </c>
      <c r="B523" s="44" t="inlineStr">
        <is>
          <t>auth</t>
        </is>
      </c>
      <c r="C523" s="44" t="inlineStr">
        <is>
          <t>low</t>
        </is>
      </c>
      <c r="D523" s="44" t="inlineStr">
        <is>
          <t>be</t>
        </is>
      </c>
      <c r="E523" s="45" t="n">
        <v>29.1</v>
      </c>
      <c r="F523" s="45" t="n">
        <v>29.2</v>
      </c>
    </row>
    <row r="524">
      <c r="A524" s="44" t="inlineStr">
        <is>
          <t>P125</t>
        </is>
      </c>
      <c r="B524" s="44" t="inlineStr">
        <is>
          <t>auth</t>
        </is>
      </c>
      <c r="C524" s="44" t="inlineStr">
        <is>
          <t>low</t>
        </is>
      </c>
      <c r="D524" s="44" t="inlineStr">
        <is>
          <t>qa</t>
        </is>
      </c>
      <c r="E524" s="45" t="n">
        <v>12.5</v>
      </c>
      <c r="F524" s="45" t="n">
        <v>14.3</v>
      </c>
    </row>
    <row r="525">
      <c r="A525" s="44" t="inlineStr">
        <is>
          <t>P125</t>
        </is>
      </c>
      <c r="B525" s="44" t="inlineStr">
        <is>
          <t>management</t>
        </is>
      </c>
      <c r="C525" s="44" t="inlineStr">
        <is>
          <t>medium</t>
        </is>
      </c>
      <c r="D525" s="44" t="inlineStr">
        <is>
          <t>pm</t>
        </is>
      </c>
      <c r="E525" s="45" t="n">
        <v>75.7</v>
      </c>
      <c r="F525" s="45" t="n">
        <v>82.90000000000001</v>
      </c>
    </row>
    <row r="526">
      <c r="A526" s="44" t="inlineStr">
        <is>
          <t>P125</t>
        </is>
      </c>
      <c r="B526" s="44" t="inlineStr">
        <is>
          <t>management</t>
        </is>
      </c>
      <c r="C526" s="44" t="inlineStr">
        <is>
          <t>medium</t>
        </is>
      </c>
      <c r="D526" s="44" t="inlineStr">
        <is>
          <t>lead</t>
        </is>
      </c>
      <c r="E526" s="45" t="n">
        <v>45.4</v>
      </c>
      <c r="F526" s="45" t="n">
        <v>45.4</v>
      </c>
    </row>
    <row r="527">
      <c r="A527" s="44" t="inlineStr">
        <is>
          <t>P126</t>
        </is>
      </c>
      <c r="B527" s="44" t="inlineStr">
        <is>
          <t>iot</t>
        </is>
      </c>
      <c r="C527" s="44" t="inlineStr">
        <is>
          <t>high</t>
        </is>
      </c>
      <c r="D527" s="44" t="inlineStr">
        <is>
          <t>be</t>
        </is>
      </c>
      <c r="E527" s="45" t="n">
        <v>172.3</v>
      </c>
      <c r="F527" s="45" t="n">
        <v>192.8</v>
      </c>
    </row>
    <row r="528">
      <c r="A528" s="44" t="inlineStr">
        <is>
          <t>P126</t>
        </is>
      </c>
      <c r="B528" s="44" t="inlineStr">
        <is>
          <t>iot</t>
        </is>
      </c>
      <c r="C528" s="44" t="inlineStr">
        <is>
          <t>high</t>
        </is>
      </c>
      <c r="D528" s="44" t="inlineStr">
        <is>
          <t>data</t>
        </is>
      </c>
      <c r="E528" s="45" t="n">
        <v>71.8</v>
      </c>
      <c r="F528" s="45" t="n">
        <v>81.09999999999999</v>
      </c>
    </row>
    <row r="529">
      <c r="A529" s="44" t="inlineStr">
        <is>
          <t>P126</t>
        </is>
      </c>
      <c r="B529" s="44" t="inlineStr">
        <is>
          <t>iot</t>
        </is>
      </c>
      <c r="C529" s="44" t="inlineStr">
        <is>
          <t>high</t>
        </is>
      </c>
      <c r="D529" s="44" t="inlineStr">
        <is>
          <t>devops</t>
        </is>
      </c>
      <c r="E529" s="45" t="n">
        <v>71.8</v>
      </c>
      <c r="F529" s="45" t="n">
        <v>88.3</v>
      </c>
    </row>
    <row r="530">
      <c r="A530" s="44" t="inlineStr">
        <is>
          <t>P126</t>
        </is>
      </c>
      <c r="B530" s="44" t="inlineStr">
        <is>
          <t>iot</t>
        </is>
      </c>
      <c r="C530" s="44" t="inlineStr">
        <is>
          <t>high</t>
        </is>
      </c>
      <c r="D530" s="44" t="inlineStr">
        <is>
          <t>qa</t>
        </is>
      </c>
      <c r="E530" s="45" t="n">
        <v>57.4</v>
      </c>
      <c r="F530" s="45" t="n">
        <v>71.5</v>
      </c>
    </row>
    <row r="531">
      <c r="A531" s="44" t="inlineStr">
        <is>
          <t>P126</t>
        </is>
      </c>
      <c r="B531" s="44" t="inlineStr">
        <is>
          <t>etl</t>
        </is>
      </c>
      <c r="C531" s="44" t="inlineStr">
        <is>
          <t>medium</t>
        </is>
      </c>
      <c r="D531" s="44" t="inlineStr">
        <is>
          <t>be</t>
        </is>
      </c>
      <c r="E531" s="45" t="n">
        <v>24</v>
      </c>
      <c r="F531" s="45" t="n">
        <v>29.3</v>
      </c>
    </row>
    <row r="532">
      <c r="A532" s="44" t="inlineStr">
        <is>
          <t>P126</t>
        </is>
      </c>
      <c r="B532" s="44" t="inlineStr">
        <is>
          <t>etl</t>
        </is>
      </c>
      <c r="C532" s="44" t="inlineStr">
        <is>
          <t>medium</t>
        </is>
      </c>
      <c r="D532" s="44" t="inlineStr">
        <is>
          <t>data</t>
        </is>
      </c>
      <c r="E532" s="45" t="n">
        <v>119.8</v>
      </c>
      <c r="F532" s="45" t="n">
        <v>155.9</v>
      </c>
    </row>
    <row r="533">
      <c r="A533" s="44" t="inlineStr">
        <is>
          <t>P126</t>
        </is>
      </c>
      <c r="B533" s="44" t="inlineStr">
        <is>
          <t>etl</t>
        </is>
      </c>
      <c r="C533" s="44" t="inlineStr">
        <is>
          <t>medium</t>
        </is>
      </c>
      <c r="D533" s="44" t="inlineStr">
        <is>
          <t>devops</t>
        </is>
      </c>
      <c r="E533" s="45" t="n">
        <v>16</v>
      </c>
      <c r="F533" s="45" t="n">
        <v>19.1</v>
      </c>
    </row>
    <row r="534">
      <c r="A534" s="44" t="inlineStr">
        <is>
          <t>P126</t>
        </is>
      </c>
      <c r="B534" s="44" t="inlineStr">
        <is>
          <t>etl</t>
        </is>
      </c>
      <c r="C534" s="44" t="inlineStr">
        <is>
          <t>medium</t>
        </is>
      </c>
      <c r="D534" s="44" t="inlineStr">
        <is>
          <t>qa</t>
        </is>
      </c>
      <c r="E534" s="45" t="n">
        <v>24</v>
      </c>
      <c r="F534" s="45" t="n">
        <v>26.7</v>
      </c>
    </row>
    <row r="535">
      <c r="A535" s="44" t="inlineStr">
        <is>
          <t>P126</t>
        </is>
      </c>
      <c r="B535" s="44" t="inlineStr">
        <is>
          <t>reporting</t>
        </is>
      </c>
      <c r="C535" s="44" t="inlineStr">
        <is>
          <t>medium</t>
        </is>
      </c>
      <c r="D535" s="44" t="inlineStr">
        <is>
          <t>uiux</t>
        </is>
      </c>
      <c r="E535" s="45" t="n">
        <v>17.7</v>
      </c>
      <c r="F535" s="45" t="n">
        <v>21.5</v>
      </c>
    </row>
    <row r="536">
      <c r="A536" s="44" t="inlineStr">
        <is>
          <t>P126</t>
        </is>
      </c>
      <c r="B536" s="44" t="inlineStr">
        <is>
          <t>reporting</t>
        </is>
      </c>
      <c r="C536" s="44" t="inlineStr">
        <is>
          <t>medium</t>
        </is>
      </c>
      <c r="D536" s="44" t="inlineStr">
        <is>
          <t>fe</t>
        </is>
      </c>
      <c r="E536" s="45" t="n">
        <v>62</v>
      </c>
      <c r="F536" s="45" t="n">
        <v>82</v>
      </c>
    </row>
    <row r="537">
      <c r="A537" s="44" t="inlineStr">
        <is>
          <t>P126</t>
        </is>
      </c>
      <c r="B537" s="44" t="inlineStr">
        <is>
          <t>reporting</t>
        </is>
      </c>
      <c r="C537" s="44" t="inlineStr">
        <is>
          <t>medium</t>
        </is>
      </c>
      <c r="D537" s="44" t="inlineStr">
        <is>
          <t>be</t>
        </is>
      </c>
      <c r="E537" s="45" t="n">
        <v>44.3</v>
      </c>
      <c r="F537" s="45" t="n">
        <v>47.7</v>
      </c>
    </row>
    <row r="538">
      <c r="A538" s="44" t="inlineStr">
        <is>
          <t>P126</t>
        </is>
      </c>
      <c r="B538" s="44" t="inlineStr">
        <is>
          <t>reporting</t>
        </is>
      </c>
      <c r="C538" s="44" t="inlineStr">
        <is>
          <t>medium</t>
        </is>
      </c>
      <c r="D538" s="44" t="inlineStr">
        <is>
          <t>data</t>
        </is>
      </c>
      <c r="E538" s="45" t="n">
        <v>44.3</v>
      </c>
      <c r="F538" s="45" t="n">
        <v>54.1</v>
      </c>
    </row>
    <row r="539">
      <c r="A539" s="44" t="inlineStr">
        <is>
          <t>P126</t>
        </is>
      </c>
      <c r="B539" s="44" t="inlineStr">
        <is>
          <t>reporting</t>
        </is>
      </c>
      <c r="C539" s="44" t="inlineStr">
        <is>
          <t>medium</t>
        </is>
      </c>
      <c r="D539" s="44" t="inlineStr">
        <is>
          <t>qa</t>
        </is>
      </c>
      <c r="E539" s="45" t="n">
        <v>26.6</v>
      </c>
      <c r="F539" s="45" t="n">
        <v>33.1</v>
      </c>
    </row>
    <row r="540">
      <c r="A540" s="44" t="inlineStr">
        <is>
          <t>P126</t>
        </is>
      </c>
      <c r="B540" s="44" t="inlineStr">
        <is>
          <t>compliance</t>
        </is>
      </c>
      <c r="C540" s="44" t="inlineStr">
        <is>
          <t>medium</t>
        </is>
      </c>
      <c r="D540" s="44" t="inlineStr">
        <is>
          <t>ba</t>
        </is>
      </c>
      <c r="E540" s="45" t="n">
        <v>18.2</v>
      </c>
      <c r="F540" s="45" t="n">
        <v>20.1</v>
      </c>
    </row>
    <row r="541">
      <c r="A541" s="44" t="inlineStr">
        <is>
          <t>P126</t>
        </is>
      </c>
      <c r="B541" s="44" t="inlineStr">
        <is>
          <t>compliance</t>
        </is>
      </c>
      <c r="C541" s="44" t="inlineStr">
        <is>
          <t>medium</t>
        </is>
      </c>
      <c r="D541" s="44" t="inlineStr">
        <is>
          <t>be</t>
        </is>
      </c>
      <c r="E541" s="45" t="n">
        <v>72.90000000000001</v>
      </c>
      <c r="F541" s="45" t="n">
        <v>80.40000000000001</v>
      </c>
    </row>
    <row r="542">
      <c r="A542" s="44" t="inlineStr">
        <is>
          <t>P126</t>
        </is>
      </c>
      <c r="B542" s="44" t="inlineStr">
        <is>
          <t>compliance</t>
        </is>
      </c>
      <c r="C542" s="44" t="inlineStr">
        <is>
          <t>medium</t>
        </is>
      </c>
      <c r="D542" s="44" t="inlineStr">
        <is>
          <t>devops</t>
        </is>
      </c>
      <c r="E542" s="45" t="n">
        <v>27.4</v>
      </c>
      <c r="F542" s="45" t="n">
        <v>30.6</v>
      </c>
    </row>
    <row r="543">
      <c r="A543" s="44" t="inlineStr">
        <is>
          <t>P126</t>
        </is>
      </c>
      <c r="B543" s="44" t="inlineStr">
        <is>
          <t>compliance</t>
        </is>
      </c>
      <c r="C543" s="44" t="inlineStr">
        <is>
          <t>medium</t>
        </is>
      </c>
      <c r="D543" s="44" t="inlineStr">
        <is>
          <t>qa</t>
        </is>
      </c>
      <c r="E543" s="45" t="n">
        <v>27.4</v>
      </c>
      <c r="F543" s="45" t="n">
        <v>33.4</v>
      </c>
    </row>
    <row r="544">
      <c r="A544" s="44" t="inlineStr">
        <is>
          <t>P126</t>
        </is>
      </c>
      <c r="B544" s="44" t="inlineStr">
        <is>
          <t>cloud_infra</t>
        </is>
      </c>
      <c r="C544" s="44" t="inlineStr">
        <is>
          <t>medium</t>
        </is>
      </c>
      <c r="D544" s="44" t="inlineStr">
        <is>
          <t>be</t>
        </is>
      </c>
      <c r="E544" s="45" t="n">
        <v>15.5</v>
      </c>
      <c r="F544" s="45" t="n">
        <v>18.5</v>
      </c>
    </row>
    <row r="545">
      <c r="A545" s="44" t="inlineStr">
        <is>
          <t>P126</t>
        </is>
      </c>
      <c r="B545" s="44" t="inlineStr">
        <is>
          <t>cloud_infra</t>
        </is>
      </c>
      <c r="C545" s="44" t="inlineStr">
        <is>
          <t>medium</t>
        </is>
      </c>
      <c r="D545" s="44" t="inlineStr">
        <is>
          <t>devops</t>
        </is>
      </c>
      <c r="E545" s="45" t="n">
        <v>77.5</v>
      </c>
      <c r="F545" s="45" t="n">
        <v>88.2</v>
      </c>
    </row>
    <row r="546">
      <c r="A546" s="44" t="inlineStr">
        <is>
          <t>P126</t>
        </is>
      </c>
      <c r="B546" s="44" t="inlineStr">
        <is>
          <t>management</t>
        </is>
      </c>
      <c r="C546" s="44" t="inlineStr">
        <is>
          <t>medium</t>
        </is>
      </c>
      <c r="D546" s="44" t="inlineStr">
        <is>
          <t>pm</t>
        </is>
      </c>
      <c r="E546" s="45" t="n">
        <v>99.09999999999999</v>
      </c>
      <c r="F546" s="45" t="n">
        <v>109.7</v>
      </c>
    </row>
    <row r="547">
      <c r="A547" s="44" t="inlineStr">
        <is>
          <t>P126</t>
        </is>
      </c>
      <c r="B547" s="44" t="inlineStr">
        <is>
          <t>management</t>
        </is>
      </c>
      <c r="C547" s="44" t="inlineStr">
        <is>
          <t>medium</t>
        </is>
      </c>
      <c r="D547" s="44" t="inlineStr">
        <is>
          <t>lead</t>
        </is>
      </c>
      <c r="E547" s="45" t="n">
        <v>59.5</v>
      </c>
      <c r="F547" s="45" t="n">
        <v>61.9</v>
      </c>
    </row>
    <row r="548">
      <c r="A548" s="44" t="inlineStr">
        <is>
          <t>P127</t>
        </is>
      </c>
      <c r="B548" s="44" t="inlineStr">
        <is>
          <t>mobile_app</t>
        </is>
      </c>
      <c r="C548" s="44" t="inlineStr">
        <is>
          <t>high</t>
        </is>
      </c>
      <c r="D548" s="44" t="inlineStr">
        <is>
          <t>uiux</t>
        </is>
      </c>
      <c r="E548" s="45" t="n">
        <v>93.90000000000001</v>
      </c>
      <c r="F548" s="45" t="n">
        <v>115.2</v>
      </c>
    </row>
    <row r="549">
      <c r="A549" s="44" t="inlineStr">
        <is>
          <t>P127</t>
        </is>
      </c>
      <c r="B549" s="44" t="inlineStr">
        <is>
          <t>mobile_app</t>
        </is>
      </c>
      <c r="C549" s="44" t="inlineStr">
        <is>
          <t>high</t>
        </is>
      </c>
      <c r="D549" s="44" t="inlineStr">
        <is>
          <t>mobile</t>
        </is>
      </c>
      <c r="E549" s="45" t="n">
        <v>501</v>
      </c>
      <c r="F549" s="45" t="n">
        <v>565.2</v>
      </c>
    </row>
    <row r="550">
      <c r="A550" s="44" t="inlineStr">
        <is>
          <t>P127</t>
        </is>
      </c>
      <c r="B550" s="44" t="inlineStr">
        <is>
          <t>mobile_app</t>
        </is>
      </c>
      <c r="C550" s="44" t="inlineStr">
        <is>
          <t>high</t>
        </is>
      </c>
      <c r="D550" s="44" t="inlineStr">
        <is>
          <t>be</t>
        </is>
      </c>
      <c r="E550" s="45" t="n">
        <v>62.6</v>
      </c>
      <c r="F550" s="45" t="n">
        <v>87.5</v>
      </c>
    </row>
    <row r="551">
      <c r="A551" s="44" t="inlineStr">
        <is>
          <t>P127</t>
        </is>
      </c>
      <c r="B551" s="44" t="inlineStr">
        <is>
          <t>mobile_app</t>
        </is>
      </c>
      <c r="C551" s="44" t="inlineStr">
        <is>
          <t>high</t>
        </is>
      </c>
      <c r="D551" s="44" t="inlineStr">
        <is>
          <t>qa</t>
        </is>
      </c>
      <c r="E551" s="45" t="n">
        <v>187.9</v>
      </c>
      <c r="F551" s="45" t="n">
        <v>244.2</v>
      </c>
    </row>
    <row r="552">
      <c r="A552" s="44" t="inlineStr">
        <is>
          <t>P127</t>
        </is>
      </c>
      <c r="B552" s="44" t="inlineStr">
        <is>
          <t>llm_assistant</t>
        </is>
      </c>
      <c r="C552" s="44" t="inlineStr">
        <is>
          <t>medium</t>
        </is>
      </c>
      <c r="D552" s="44" t="inlineStr">
        <is>
          <t>fe</t>
        </is>
      </c>
      <c r="E552" s="45" t="n">
        <v>28.3</v>
      </c>
      <c r="F552" s="45" t="n">
        <v>38.3</v>
      </c>
    </row>
    <row r="553">
      <c r="A553" s="44" t="inlineStr">
        <is>
          <t>P127</t>
        </is>
      </c>
      <c r="B553" s="44" t="inlineStr">
        <is>
          <t>llm_assistant</t>
        </is>
      </c>
      <c r="C553" s="44" t="inlineStr">
        <is>
          <t>medium</t>
        </is>
      </c>
      <c r="D553" s="44" t="inlineStr">
        <is>
          <t>be</t>
        </is>
      </c>
      <c r="E553" s="45" t="n">
        <v>42.5</v>
      </c>
      <c r="F553" s="45" t="n">
        <v>53.1</v>
      </c>
    </row>
    <row r="554">
      <c r="A554" s="44" t="inlineStr">
        <is>
          <t>P127</t>
        </is>
      </c>
      <c r="B554" s="44" t="inlineStr">
        <is>
          <t>llm_assistant</t>
        </is>
      </c>
      <c r="C554" s="44" t="inlineStr">
        <is>
          <t>medium</t>
        </is>
      </c>
      <c r="D554" s="44" t="inlineStr">
        <is>
          <t>ml</t>
        </is>
      </c>
      <c r="E554" s="45" t="n">
        <v>123.9</v>
      </c>
      <c r="F554" s="45" t="n">
        <v>164</v>
      </c>
    </row>
    <row r="555">
      <c r="A555" s="44" t="inlineStr">
        <is>
          <t>P127</t>
        </is>
      </c>
      <c r="B555" s="44" t="inlineStr">
        <is>
          <t>llm_assistant</t>
        </is>
      </c>
      <c r="C555" s="44" t="inlineStr">
        <is>
          <t>medium</t>
        </is>
      </c>
      <c r="D555" s="44" t="inlineStr">
        <is>
          <t>qa</t>
        </is>
      </c>
      <c r="E555" s="45" t="n">
        <v>35.4</v>
      </c>
      <c r="F555" s="45" t="n">
        <v>41.3</v>
      </c>
    </row>
    <row r="556">
      <c r="A556" s="44" t="inlineStr">
        <is>
          <t>P127</t>
        </is>
      </c>
      <c r="B556" s="44" t="inlineStr">
        <is>
          <t>auth</t>
        </is>
      </c>
      <c r="C556" s="44" t="inlineStr">
        <is>
          <t>low</t>
        </is>
      </c>
      <c r="D556" s="44" t="inlineStr">
        <is>
          <t>ba</t>
        </is>
      </c>
      <c r="E556" s="45" t="n">
        <v>5.3</v>
      </c>
      <c r="F556" s="45" t="n">
        <v>5.8</v>
      </c>
    </row>
    <row r="557">
      <c r="A557" s="44" t="inlineStr">
        <is>
          <t>P127</t>
        </is>
      </c>
      <c r="B557" s="44" t="inlineStr">
        <is>
          <t>auth</t>
        </is>
      </c>
      <c r="C557" s="44" t="inlineStr">
        <is>
          <t>low</t>
        </is>
      </c>
      <c r="D557" s="44" t="inlineStr">
        <is>
          <t>uiux</t>
        </is>
      </c>
      <c r="E557" s="45" t="n">
        <v>8</v>
      </c>
      <c r="F557" s="45" t="n">
        <v>10.2</v>
      </c>
    </row>
    <row r="558">
      <c r="A558" s="44" t="inlineStr">
        <is>
          <t>P127</t>
        </is>
      </c>
      <c r="B558" s="44" t="inlineStr">
        <is>
          <t>auth</t>
        </is>
      </c>
      <c r="C558" s="44" t="inlineStr">
        <is>
          <t>low</t>
        </is>
      </c>
      <c r="D558" s="44" t="inlineStr">
        <is>
          <t>fe</t>
        </is>
      </c>
      <c r="E558" s="45" t="n">
        <v>26.5</v>
      </c>
      <c r="F558" s="45" t="n">
        <v>33.4</v>
      </c>
    </row>
    <row r="559">
      <c r="A559" s="44" t="inlineStr">
        <is>
          <t>P127</t>
        </is>
      </c>
      <c r="B559" s="44" t="inlineStr">
        <is>
          <t>auth</t>
        </is>
      </c>
      <c r="C559" s="44" t="inlineStr">
        <is>
          <t>low</t>
        </is>
      </c>
      <c r="D559" s="44" t="inlineStr">
        <is>
          <t>be</t>
        </is>
      </c>
      <c r="E559" s="45" t="n">
        <v>37.1</v>
      </c>
      <c r="F559" s="45" t="n">
        <v>42.7</v>
      </c>
    </row>
    <row r="560">
      <c r="A560" s="44" t="inlineStr">
        <is>
          <t>P127</t>
        </is>
      </c>
      <c r="B560" s="44" t="inlineStr">
        <is>
          <t>auth</t>
        </is>
      </c>
      <c r="C560" s="44" t="inlineStr">
        <is>
          <t>low</t>
        </is>
      </c>
      <c r="D560" s="44" t="inlineStr">
        <is>
          <t>qa</t>
        </is>
      </c>
      <c r="E560" s="45" t="n">
        <v>15.9</v>
      </c>
      <c r="F560" s="45" t="n">
        <v>19.6</v>
      </c>
    </row>
    <row r="561">
      <c r="A561" s="44" t="inlineStr">
        <is>
          <t>P127</t>
        </is>
      </c>
      <c r="B561" s="44" t="inlineStr">
        <is>
          <t>cms</t>
        </is>
      </c>
      <c r="C561" s="44" t="inlineStr">
        <is>
          <t>medium</t>
        </is>
      </c>
      <c r="D561" s="44" t="inlineStr">
        <is>
          <t>uiux</t>
        </is>
      </c>
      <c r="E561" s="45" t="n">
        <v>14.9</v>
      </c>
      <c r="F561" s="45" t="n">
        <v>18.7</v>
      </c>
    </row>
    <row r="562">
      <c r="A562" s="44" t="inlineStr">
        <is>
          <t>P127</t>
        </is>
      </c>
      <c r="B562" s="44" t="inlineStr">
        <is>
          <t>cms</t>
        </is>
      </c>
      <c r="C562" s="44" t="inlineStr">
        <is>
          <t>medium</t>
        </is>
      </c>
      <c r="D562" s="44" t="inlineStr">
        <is>
          <t>fe</t>
        </is>
      </c>
      <c r="E562" s="45" t="n">
        <v>44.6</v>
      </c>
      <c r="F562" s="45" t="n">
        <v>58</v>
      </c>
    </row>
    <row r="563">
      <c r="A563" s="44" t="inlineStr">
        <is>
          <t>P127</t>
        </is>
      </c>
      <c r="B563" s="44" t="inlineStr">
        <is>
          <t>cms</t>
        </is>
      </c>
      <c r="C563" s="44" t="inlineStr">
        <is>
          <t>medium</t>
        </is>
      </c>
      <c r="D563" s="44" t="inlineStr">
        <is>
          <t>be</t>
        </is>
      </c>
      <c r="E563" s="45" t="n">
        <v>37.2</v>
      </c>
      <c r="F563" s="45" t="n">
        <v>43.5</v>
      </c>
    </row>
    <row r="564">
      <c r="A564" s="44" t="inlineStr">
        <is>
          <t>P127</t>
        </is>
      </c>
      <c r="B564" s="44" t="inlineStr">
        <is>
          <t>cms</t>
        </is>
      </c>
      <c r="C564" s="44" t="inlineStr">
        <is>
          <t>medium</t>
        </is>
      </c>
      <c r="D564" s="44" t="inlineStr">
        <is>
          <t>qa</t>
        </is>
      </c>
      <c r="E564" s="45" t="n">
        <v>18.6</v>
      </c>
      <c r="F564" s="45" t="n">
        <v>22.3</v>
      </c>
    </row>
    <row r="565">
      <c r="A565" s="44" t="inlineStr">
        <is>
          <t>P127</t>
        </is>
      </c>
      <c r="B565" s="44" t="inlineStr">
        <is>
          <t>payments</t>
        </is>
      </c>
      <c r="C565" s="44" t="inlineStr">
        <is>
          <t>low</t>
        </is>
      </c>
      <c r="D565" s="44" t="inlineStr">
        <is>
          <t>ba</t>
        </is>
      </c>
      <c r="E565" s="45" t="n">
        <v>9.1</v>
      </c>
      <c r="F565" s="45" t="n">
        <v>11.4</v>
      </c>
    </row>
    <row r="566">
      <c r="A566" s="44" t="inlineStr">
        <is>
          <t>P127</t>
        </is>
      </c>
      <c r="B566" s="44" t="inlineStr">
        <is>
          <t>payments</t>
        </is>
      </c>
      <c r="C566" s="44" t="inlineStr">
        <is>
          <t>low</t>
        </is>
      </c>
      <c r="D566" s="44" t="inlineStr">
        <is>
          <t>fe</t>
        </is>
      </c>
      <c r="E566" s="45" t="n">
        <v>18.2</v>
      </c>
      <c r="F566" s="45" t="n">
        <v>22.3</v>
      </c>
    </row>
    <row r="567">
      <c r="A567" s="44" t="inlineStr">
        <is>
          <t>P127</t>
        </is>
      </c>
      <c r="B567" s="44" t="inlineStr">
        <is>
          <t>payments</t>
        </is>
      </c>
      <c r="C567" s="44" t="inlineStr">
        <is>
          <t>low</t>
        </is>
      </c>
      <c r="D567" s="44" t="inlineStr">
        <is>
          <t>be</t>
        </is>
      </c>
      <c r="E567" s="45" t="n">
        <v>54.6</v>
      </c>
      <c r="F567" s="45" t="n">
        <v>66.59999999999999</v>
      </c>
    </row>
    <row r="568">
      <c r="A568" s="44" t="inlineStr">
        <is>
          <t>P127</t>
        </is>
      </c>
      <c r="B568" s="44" t="inlineStr">
        <is>
          <t>payments</t>
        </is>
      </c>
      <c r="C568" s="44" t="inlineStr">
        <is>
          <t>low</t>
        </is>
      </c>
      <c r="D568" s="44" t="inlineStr">
        <is>
          <t>qa</t>
        </is>
      </c>
      <c r="E568" s="45" t="n">
        <v>27.3</v>
      </c>
      <c r="F568" s="45" t="n">
        <v>33.2</v>
      </c>
    </row>
    <row r="569">
      <c r="A569" s="44" t="inlineStr">
        <is>
          <t>P127</t>
        </is>
      </c>
      <c r="B569" s="44" t="inlineStr">
        <is>
          <t>management</t>
        </is>
      </c>
      <c r="C569" s="44" t="inlineStr">
        <is>
          <t>medium</t>
        </is>
      </c>
      <c r="D569" s="44" t="inlineStr">
        <is>
          <t>pm</t>
        </is>
      </c>
      <c r="E569" s="45" t="n">
        <v>139.3</v>
      </c>
      <c r="F569" s="45" t="n">
        <v>165.6</v>
      </c>
    </row>
    <row r="570">
      <c r="A570" s="44" t="inlineStr">
        <is>
          <t>P127</t>
        </is>
      </c>
      <c r="B570" s="44" t="inlineStr">
        <is>
          <t>management</t>
        </is>
      </c>
      <c r="C570" s="44" t="inlineStr">
        <is>
          <t>medium</t>
        </is>
      </c>
      <c r="D570" s="44" t="inlineStr">
        <is>
          <t>lead</t>
        </is>
      </c>
      <c r="E570" s="45" t="n">
        <v>83.59999999999999</v>
      </c>
      <c r="F570" s="45" t="n">
        <v>84.09999999999999</v>
      </c>
    </row>
    <row r="571">
      <c r="A571" s="44" t="inlineStr">
        <is>
          <t>P128</t>
        </is>
      </c>
      <c r="B571" s="44" t="inlineStr">
        <is>
          <t>crm</t>
        </is>
      </c>
      <c r="C571" s="44" t="inlineStr">
        <is>
          <t>high</t>
        </is>
      </c>
      <c r="D571" s="44" t="inlineStr">
        <is>
          <t>ba</t>
        </is>
      </c>
      <c r="E571" s="45" t="n">
        <v>58.1</v>
      </c>
      <c r="F571" s="45" t="n">
        <v>65.09999999999999</v>
      </c>
    </row>
    <row r="572">
      <c r="A572" s="44" t="inlineStr">
        <is>
          <t>P128</t>
        </is>
      </c>
      <c r="B572" s="44" t="inlineStr">
        <is>
          <t>crm</t>
        </is>
      </c>
      <c r="C572" s="44" t="inlineStr">
        <is>
          <t>high</t>
        </is>
      </c>
      <c r="D572" s="44" t="inlineStr">
        <is>
          <t>fe</t>
        </is>
      </c>
      <c r="E572" s="45" t="n">
        <v>116.2</v>
      </c>
      <c r="F572" s="45" t="n">
        <v>128</v>
      </c>
    </row>
    <row r="573">
      <c r="A573" s="44" t="inlineStr">
        <is>
          <t>P128</t>
        </is>
      </c>
      <c r="B573" s="44" t="inlineStr">
        <is>
          <t>crm</t>
        </is>
      </c>
      <c r="C573" s="44" t="inlineStr">
        <is>
          <t>high</t>
        </is>
      </c>
      <c r="D573" s="44" t="inlineStr">
        <is>
          <t>be</t>
        </is>
      </c>
      <c r="E573" s="45" t="n">
        <v>174.3</v>
      </c>
      <c r="F573" s="45" t="n">
        <v>213</v>
      </c>
    </row>
    <row r="574">
      <c r="A574" s="44" t="inlineStr">
        <is>
          <t>P128</t>
        </is>
      </c>
      <c r="B574" s="44" t="inlineStr">
        <is>
          <t>crm</t>
        </is>
      </c>
      <c r="C574" s="44" t="inlineStr">
        <is>
          <t>high</t>
        </is>
      </c>
      <c r="D574" s="44" t="inlineStr">
        <is>
          <t>qa</t>
        </is>
      </c>
      <c r="E574" s="45" t="n">
        <v>72.59999999999999</v>
      </c>
      <c r="F574" s="45" t="n">
        <v>63.6</v>
      </c>
    </row>
    <row r="575">
      <c r="A575" s="44" t="inlineStr">
        <is>
          <t>P128</t>
        </is>
      </c>
      <c r="B575" s="44" t="inlineStr">
        <is>
          <t>integration</t>
        </is>
      </c>
      <c r="C575" s="44" t="inlineStr">
        <is>
          <t>high</t>
        </is>
      </c>
      <c r="D575" s="44" t="inlineStr">
        <is>
          <t>ba</t>
        </is>
      </c>
      <c r="E575" s="45" t="n">
        <v>18.9</v>
      </c>
      <c r="F575" s="45" t="n">
        <v>21.8</v>
      </c>
    </row>
    <row r="576">
      <c r="A576" s="44" t="inlineStr">
        <is>
          <t>P128</t>
        </is>
      </c>
      <c r="B576" s="44" t="inlineStr">
        <is>
          <t>integration</t>
        </is>
      </c>
      <c r="C576" s="44" t="inlineStr">
        <is>
          <t>high</t>
        </is>
      </c>
      <c r="D576" s="44" t="inlineStr">
        <is>
          <t>be</t>
        </is>
      </c>
      <c r="E576" s="45" t="n">
        <v>113.5</v>
      </c>
      <c r="F576" s="45" t="n">
        <v>100.4</v>
      </c>
    </row>
    <row r="577">
      <c r="A577" s="44" t="inlineStr">
        <is>
          <t>P128</t>
        </is>
      </c>
      <c r="B577" s="44" t="inlineStr">
        <is>
          <t>integration</t>
        </is>
      </c>
      <c r="C577" s="44" t="inlineStr">
        <is>
          <t>high</t>
        </is>
      </c>
      <c r="D577" s="44" t="inlineStr">
        <is>
          <t>qa</t>
        </is>
      </c>
      <c r="E577" s="45" t="n">
        <v>37.8</v>
      </c>
      <c r="F577" s="45" t="n">
        <v>41.9</v>
      </c>
    </row>
    <row r="578">
      <c r="A578" s="44" t="inlineStr">
        <is>
          <t>P128</t>
        </is>
      </c>
      <c r="B578" s="44" t="inlineStr">
        <is>
          <t>reporting</t>
        </is>
      </c>
      <c r="C578" s="44" t="inlineStr">
        <is>
          <t>low</t>
        </is>
      </c>
      <c r="D578" s="44" t="inlineStr">
        <is>
          <t>uiux</t>
        </is>
      </c>
      <c r="E578" s="45" t="n">
        <v>8.699999999999999</v>
      </c>
      <c r="F578" s="45" t="n">
        <v>9</v>
      </c>
    </row>
    <row r="579">
      <c r="A579" s="44" t="inlineStr">
        <is>
          <t>P128</t>
        </is>
      </c>
      <c r="B579" s="44" t="inlineStr">
        <is>
          <t>reporting</t>
        </is>
      </c>
      <c r="C579" s="44" t="inlineStr">
        <is>
          <t>low</t>
        </is>
      </c>
      <c r="D579" s="44" t="inlineStr">
        <is>
          <t>fe</t>
        </is>
      </c>
      <c r="E579" s="45" t="n">
        <v>30.4</v>
      </c>
      <c r="F579" s="45" t="n">
        <v>28.8</v>
      </c>
    </row>
    <row r="580">
      <c r="A580" s="44" t="inlineStr">
        <is>
          <t>P128</t>
        </is>
      </c>
      <c r="B580" s="44" t="inlineStr">
        <is>
          <t>reporting</t>
        </is>
      </c>
      <c r="C580" s="44" t="inlineStr">
        <is>
          <t>low</t>
        </is>
      </c>
      <c r="D580" s="44" t="inlineStr">
        <is>
          <t>be</t>
        </is>
      </c>
      <c r="E580" s="45" t="n">
        <v>21.7</v>
      </c>
      <c r="F580" s="45" t="n">
        <v>21.3</v>
      </c>
    </row>
    <row r="581">
      <c r="A581" s="44" t="inlineStr">
        <is>
          <t>P128</t>
        </is>
      </c>
      <c r="B581" s="44" t="inlineStr">
        <is>
          <t>reporting</t>
        </is>
      </c>
      <c r="C581" s="44" t="inlineStr">
        <is>
          <t>low</t>
        </is>
      </c>
      <c r="D581" s="44" t="inlineStr">
        <is>
          <t>data</t>
        </is>
      </c>
      <c r="E581" s="45" t="n">
        <v>21.7</v>
      </c>
      <c r="F581" s="45" t="n">
        <v>25.3</v>
      </c>
    </row>
    <row r="582">
      <c r="A582" s="44" t="inlineStr">
        <is>
          <t>P128</t>
        </is>
      </c>
      <c r="B582" s="44" t="inlineStr">
        <is>
          <t>reporting</t>
        </is>
      </c>
      <c r="C582" s="44" t="inlineStr">
        <is>
          <t>low</t>
        </is>
      </c>
      <c r="D582" s="44" t="inlineStr">
        <is>
          <t>qa</t>
        </is>
      </c>
      <c r="E582" s="45" t="n">
        <v>13</v>
      </c>
      <c r="F582" s="45" t="n">
        <v>16.1</v>
      </c>
    </row>
    <row r="583">
      <c r="A583" s="44" t="inlineStr">
        <is>
          <t>P128</t>
        </is>
      </c>
      <c r="B583" s="44" t="inlineStr">
        <is>
          <t>auth</t>
        </is>
      </c>
      <c r="C583" s="44" t="inlineStr">
        <is>
          <t>low</t>
        </is>
      </c>
      <c r="D583" s="44" t="inlineStr">
        <is>
          <t>ba</t>
        </is>
      </c>
      <c r="E583" s="45" t="n">
        <v>4.1</v>
      </c>
      <c r="F583" s="45" t="n">
        <v>5.1</v>
      </c>
    </row>
    <row r="584">
      <c r="A584" s="44" t="inlineStr">
        <is>
          <t>P128</t>
        </is>
      </c>
      <c r="B584" s="44" t="inlineStr">
        <is>
          <t>auth</t>
        </is>
      </c>
      <c r="C584" s="44" t="inlineStr">
        <is>
          <t>low</t>
        </is>
      </c>
      <c r="D584" s="44" t="inlineStr">
        <is>
          <t>uiux</t>
        </is>
      </c>
      <c r="E584" s="45" t="n">
        <v>6.2</v>
      </c>
      <c r="F584" s="45" t="n">
        <v>7.2</v>
      </c>
    </row>
    <row r="585">
      <c r="A585" s="44" t="inlineStr">
        <is>
          <t>P128</t>
        </is>
      </c>
      <c r="B585" s="44" t="inlineStr">
        <is>
          <t>auth</t>
        </is>
      </c>
      <c r="C585" s="44" t="inlineStr">
        <is>
          <t>low</t>
        </is>
      </c>
      <c r="D585" s="44" t="inlineStr">
        <is>
          <t>fe</t>
        </is>
      </c>
      <c r="E585" s="45" t="n">
        <v>20.6</v>
      </c>
      <c r="F585" s="45" t="n">
        <v>22.6</v>
      </c>
    </row>
    <row r="586">
      <c r="A586" s="44" t="inlineStr">
        <is>
          <t>P128</t>
        </is>
      </c>
      <c r="B586" s="44" t="inlineStr">
        <is>
          <t>auth</t>
        </is>
      </c>
      <c r="C586" s="44" t="inlineStr">
        <is>
          <t>low</t>
        </is>
      </c>
      <c r="D586" s="44" t="inlineStr">
        <is>
          <t>be</t>
        </is>
      </c>
      <c r="E586" s="45" t="n">
        <v>28.9</v>
      </c>
      <c r="F586" s="45" t="n">
        <v>27.7</v>
      </c>
    </row>
    <row r="587">
      <c r="A587" s="44" t="inlineStr">
        <is>
          <t>P128</t>
        </is>
      </c>
      <c r="B587" s="44" t="inlineStr">
        <is>
          <t>auth</t>
        </is>
      </c>
      <c r="C587" s="44" t="inlineStr">
        <is>
          <t>low</t>
        </is>
      </c>
      <c r="D587" s="44" t="inlineStr">
        <is>
          <t>qa</t>
        </is>
      </c>
      <c r="E587" s="45" t="n">
        <v>12.4</v>
      </c>
      <c r="F587" s="45" t="n">
        <v>13.6</v>
      </c>
    </row>
    <row r="588">
      <c r="A588" s="44" t="inlineStr">
        <is>
          <t>P128</t>
        </is>
      </c>
      <c r="B588" s="44" t="inlineStr">
        <is>
          <t>management</t>
        </is>
      </c>
      <c r="C588" s="44" t="inlineStr">
        <is>
          <t>medium</t>
        </is>
      </c>
      <c r="D588" s="44" t="inlineStr">
        <is>
          <t>pm</t>
        </is>
      </c>
      <c r="E588" s="45" t="n">
        <v>75.90000000000001</v>
      </c>
      <c r="F588" s="45" t="n">
        <v>82.40000000000001</v>
      </c>
    </row>
    <row r="589">
      <c r="A589" s="44" t="inlineStr">
        <is>
          <t>P128</t>
        </is>
      </c>
      <c r="B589" s="44" t="inlineStr">
        <is>
          <t>management</t>
        </is>
      </c>
      <c r="C589" s="44" t="inlineStr">
        <is>
          <t>medium</t>
        </is>
      </c>
      <c r="D589" s="44" t="inlineStr">
        <is>
          <t>lead</t>
        </is>
      </c>
      <c r="E589" s="45" t="n">
        <v>45.5</v>
      </c>
      <c r="F589" s="45" t="n">
        <v>53.8</v>
      </c>
    </row>
    <row r="590">
      <c r="A590" s="44" t="inlineStr">
        <is>
          <t>P129</t>
        </is>
      </c>
      <c r="B590" s="44" t="inlineStr">
        <is>
          <t>ml_model</t>
        </is>
      </c>
      <c r="C590" s="44" t="inlineStr">
        <is>
          <t>high</t>
        </is>
      </c>
      <c r="D590" s="44" t="inlineStr">
        <is>
          <t>data</t>
        </is>
      </c>
      <c r="E590" s="45" t="n">
        <v>107</v>
      </c>
      <c r="F590" s="45" t="n">
        <v>133.6</v>
      </c>
    </row>
    <row r="591">
      <c r="A591" s="44" t="inlineStr">
        <is>
          <t>P129</t>
        </is>
      </c>
      <c r="B591" s="44" t="inlineStr">
        <is>
          <t>ml_model</t>
        </is>
      </c>
      <c r="C591" s="44" t="inlineStr">
        <is>
          <t>high</t>
        </is>
      </c>
      <c r="D591" s="44" t="inlineStr">
        <is>
          <t>ml</t>
        </is>
      </c>
      <c r="E591" s="45" t="n">
        <v>285.2</v>
      </c>
      <c r="F591" s="45" t="n">
        <v>378.5</v>
      </c>
    </row>
    <row r="592">
      <c r="A592" s="44" t="inlineStr">
        <is>
          <t>P129</t>
        </is>
      </c>
      <c r="B592" s="44" t="inlineStr">
        <is>
          <t>ml_model</t>
        </is>
      </c>
      <c r="C592" s="44" t="inlineStr">
        <is>
          <t>high</t>
        </is>
      </c>
      <c r="D592" s="44" t="inlineStr">
        <is>
          <t>qa</t>
        </is>
      </c>
      <c r="E592" s="45" t="n">
        <v>42.8</v>
      </c>
      <c r="F592" s="45" t="n">
        <v>62</v>
      </c>
    </row>
    <row r="593">
      <c r="A593" s="44" t="inlineStr">
        <is>
          <t>P129</t>
        </is>
      </c>
      <c r="B593" s="44" t="inlineStr">
        <is>
          <t>etl</t>
        </is>
      </c>
      <c r="C593" s="44" t="inlineStr">
        <is>
          <t>medium</t>
        </is>
      </c>
      <c r="D593" s="44" t="inlineStr">
        <is>
          <t>be</t>
        </is>
      </c>
      <c r="E593" s="45" t="n">
        <v>24</v>
      </c>
      <c r="F593" s="45" t="n">
        <v>29.6</v>
      </c>
    </row>
    <row r="594">
      <c r="A594" s="44" t="inlineStr">
        <is>
          <t>P129</t>
        </is>
      </c>
      <c r="B594" s="44" t="inlineStr">
        <is>
          <t>etl</t>
        </is>
      </c>
      <c r="C594" s="44" t="inlineStr">
        <is>
          <t>medium</t>
        </is>
      </c>
      <c r="D594" s="44" t="inlineStr">
        <is>
          <t>data</t>
        </is>
      </c>
      <c r="E594" s="45" t="n">
        <v>119.8</v>
      </c>
      <c r="F594" s="45" t="n">
        <v>176.2</v>
      </c>
    </row>
    <row r="595">
      <c r="A595" s="44" t="inlineStr">
        <is>
          <t>P129</t>
        </is>
      </c>
      <c r="B595" s="44" t="inlineStr">
        <is>
          <t>etl</t>
        </is>
      </c>
      <c r="C595" s="44" t="inlineStr">
        <is>
          <t>medium</t>
        </is>
      </c>
      <c r="D595" s="44" t="inlineStr">
        <is>
          <t>devops</t>
        </is>
      </c>
      <c r="E595" s="45" t="n">
        <v>16</v>
      </c>
      <c r="F595" s="45" t="n">
        <v>18.8</v>
      </c>
    </row>
    <row r="596">
      <c r="A596" s="44" t="inlineStr">
        <is>
          <t>P129</t>
        </is>
      </c>
      <c r="B596" s="44" t="inlineStr">
        <is>
          <t>etl</t>
        </is>
      </c>
      <c r="C596" s="44" t="inlineStr">
        <is>
          <t>medium</t>
        </is>
      </c>
      <c r="D596" s="44" t="inlineStr">
        <is>
          <t>qa</t>
        </is>
      </c>
      <c r="E596" s="45" t="n">
        <v>24</v>
      </c>
      <c r="F596" s="45" t="n">
        <v>31</v>
      </c>
    </row>
    <row r="597">
      <c r="A597" s="44" t="inlineStr">
        <is>
          <t>P129</t>
        </is>
      </c>
      <c r="B597" s="44" t="inlineStr">
        <is>
          <t>reporting</t>
        </is>
      </c>
      <c r="C597" s="44" t="inlineStr">
        <is>
          <t>low</t>
        </is>
      </c>
      <c r="D597" s="44" t="inlineStr">
        <is>
          <t>uiux</t>
        </is>
      </c>
      <c r="E597" s="45" t="n">
        <v>8.699999999999999</v>
      </c>
      <c r="F597" s="45" t="n">
        <v>11.8</v>
      </c>
    </row>
    <row r="598">
      <c r="A598" s="44" t="inlineStr">
        <is>
          <t>P129</t>
        </is>
      </c>
      <c r="B598" s="44" t="inlineStr">
        <is>
          <t>reporting</t>
        </is>
      </c>
      <c r="C598" s="44" t="inlineStr">
        <is>
          <t>low</t>
        </is>
      </c>
      <c r="D598" s="44" t="inlineStr">
        <is>
          <t>fe</t>
        </is>
      </c>
      <c r="E598" s="45" t="n">
        <v>30.3</v>
      </c>
      <c r="F598" s="45" t="n">
        <v>36.6</v>
      </c>
    </row>
    <row r="599">
      <c r="A599" s="44" t="inlineStr">
        <is>
          <t>P129</t>
        </is>
      </c>
      <c r="B599" s="44" t="inlineStr">
        <is>
          <t>reporting</t>
        </is>
      </c>
      <c r="C599" s="44" t="inlineStr">
        <is>
          <t>low</t>
        </is>
      </c>
      <c r="D599" s="44" t="inlineStr">
        <is>
          <t>be</t>
        </is>
      </c>
      <c r="E599" s="45" t="n">
        <v>21.6</v>
      </c>
      <c r="F599" s="45" t="n">
        <v>28.3</v>
      </c>
    </row>
    <row r="600">
      <c r="A600" s="44" t="inlineStr">
        <is>
          <t>P129</t>
        </is>
      </c>
      <c r="B600" s="44" t="inlineStr">
        <is>
          <t>reporting</t>
        </is>
      </c>
      <c r="C600" s="44" t="inlineStr">
        <is>
          <t>low</t>
        </is>
      </c>
      <c r="D600" s="44" t="inlineStr">
        <is>
          <t>data</t>
        </is>
      </c>
      <c r="E600" s="45" t="n">
        <v>21.6</v>
      </c>
      <c r="F600" s="45" t="n">
        <v>29.5</v>
      </c>
    </row>
    <row r="601">
      <c r="A601" s="44" t="inlineStr">
        <is>
          <t>P129</t>
        </is>
      </c>
      <c r="B601" s="44" t="inlineStr">
        <is>
          <t>reporting</t>
        </is>
      </c>
      <c r="C601" s="44" t="inlineStr">
        <is>
          <t>low</t>
        </is>
      </c>
      <c r="D601" s="44" t="inlineStr">
        <is>
          <t>qa</t>
        </is>
      </c>
      <c r="E601" s="45" t="n">
        <v>13</v>
      </c>
      <c r="F601" s="45" t="n">
        <v>17</v>
      </c>
    </row>
    <row r="602">
      <c r="A602" s="44" t="inlineStr">
        <is>
          <t>P129</t>
        </is>
      </c>
      <c r="B602" s="44" t="inlineStr">
        <is>
          <t>management</t>
        </is>
      </c>
      <c r="C602" s="44" t="inlineStr">
        <is>
          <t>medium</t>
        </is>
      </c>
      <c r="D602" s="44" t="inlineStr">
        <is>
          <t>pm</t>
        </is>
      </c>
      <c r="E602" s="45" t="n">
        <v>71.40000000000001</v>
      </c>
      <c r="F602" s="45" t="n">
        <v>81.40000000000001</v>
      </c>
    </row>
    <row r="603">
      <c r="A603" s="44" t="inlineStr">
        <is>
          <t>P129</t>
        </is>
      </c>
      <c r="B603" s="44" t="inlineStr">
        <is>
          <t>management</t>
        </is>
      </c>
      <c r="C603" s="44" t="inlineStr">
        <is>
          <t>medium</t>
        </is>
      </c>
      <c r="D603" s="44" t="inlineStr">
        <is>
          <t>lead</t>
        </is>
      </c>
      <c r="E603" s="45" t="n">
        <v>42.8</v>
      </c>
      <c r="F603" s="45" t="n">
        <v>47</v>
      </c>
    </row>
    <row r="604">
      <c r="A604" s="44" t="inlineStr">
        <is>
          <t>P130</t>
        </is>
      </c>
      <c r="B604" s="44" t="inlineStr">
        <is>
          <t>llm_assistant</t>
        </is>
      </c>
      <c r="C604" s="44" t="inlineStr">
        <is>
          <t>high</t>
        </is>
      </c>
      <c r="D604" s="44" t="inlineStr">
        <is>
          <t>fe</t>
        </is>
      </c>
      <c r="E604" s="45" t="n">
        <v>48.7</v>
      </c>
      <c r="F604" s="45" t="n">
        <v>69.5</v>
      </c>
    </row>
    <row r="605">
      <c r="A605" s="44" t="inlineStr">
        <is>
          <t>P130</t>
        </is>
      </c>
      <c r="B605" s="44" t="inlineStr">
        <is>
          <t>llm_assistant</t>
        </is>
      </c>
      <c r="C605" s="44" t="inlineStr">
        <is>
          <t>high</t>
        </is>
      </c>
      <c r="D605" s="44" t="inlineStr">
        <is>
          <t>be</t>
        </is>
      </c>
      <c r="E605" s="45" t="n">
        <v>73</v>
      </c>
      <c r="F605" s="45" t="n">
        <v>100</v>
      </c>
    </row>
    <row r="606">
      <c r="A606" s="44" t="inlineStr">
        <is>
          <t>P130</t>
        </is>
      </c>
      <c r="B606" s="44" t="inlineStr">
        <is>
          <t>llm_assistant</t>
        </is>
      </c>
      <c r="C606" s="44" t="inlineStr">
        <is>
          <t>high</t>
        </is>
      </c>
      <c r="D606" s="44" t="inlineStr">
        <is>
          <t>ml</t>
        </is>
      </c>
      <c r="E606" s="45" t="n">
        <v>213</v>
      </c>
      <c r="F606" s="45" t="n">
        <v>264.3</v>
      </c>
    </row>
    <row r="607">
      <c r="A607" s="44" t="inlineStr">
        <is>
          <t>P130</t>
        </is>
      </c>
      <c r="B607" s="44" t="inlineStr">
        <is>
          <t>llm_assistant</t>
        </is>
      </c>
      <c r="C607" s="44" t="inlineStr">
        <is>
          <t>high</t>
        </is>
      </c>
      <c r="D607" s="44" t="inlineStr">
        <is>
          <t>qa</t>
        </is>
      </c>
      <c r="E607" s="45" t="n">
        <v>60.9</v>
      </c>
      <c r="F607" s="45" t="n">
        <v>82.5</v>
      </c>
    </row>
    <row r="608">
      <c r="A608" s="44" t="inlineStr">
        <is>
          <t>P130</t>
        </is>
      </c>
      <c r="B608" s="44" t="inlineStr">
        <is>
          <t>integration</t>
        </is>
      </c>
      <c r="C608" s="44" t="inlineStr">
        <is>
          <t>medium</t>
        </is>
      </c>
      <c r="D608" s="44" t="inlineStr">
        <is>
          <t>ba</t>
        </is>
      </c>
      <c r="E608" s="45" t="n">
        <v>11.1</v>
      </c>
      <c r="F608" s="45" t="n">
        <v>15</v>
      </c>
    </row>
    <row r="609">
      <c r="A609" s="44" t="inlineStr">
        <is>
          <t>P130</t>
        </is>
      </c>
      <c r="B609" s="44" t="inlineStr">
        <is>
          <t>integration</t>
        </is>
      </c>
      <c r="C609" s="44" t="inlineStr">
        <is>
          <t>medium</t>
        </is>
      </c>
      <c r="D609" s="44" t="inlineStr">
        <is>
          <t>be</t>
        </is>
      </c>
      <c r="E609" s="45" t="n">
        <v>66.8</v>
      </c>
      <c r="F609" s="45" t="n">
        <v>100.1</v>
      </c>
    </row>
    <row r="610">
      <c r="A610" s="44" t="inlineStr">
        <is>
          <t>P130</t>
        </is>
      </c>
      <c r="B610" s="44" t="inlineStr">
        <is>
          <t>integration</t>
        </is>
      </c>
      <c r="C610" s="44" t="inlineStr">
        <is>
          <t>medium</t>
        </is>
      </c>
      <c r="D610" s="44" t="inlineStr">
        <is>
          <t>qa</t>
        </is>
      </c>
      <c r="E610" s="45" t="n">
        <v>22.3</v>
      </c>
      <c r="F610" s="45" t="n">
        <v>30.9</v>
      </c>
    </row>
    <row r="611">
      <c r="A611" s="44" t="inlineStr">
        <is>
          <t>P130</t>
        </is>
      </c>
      <c r="B611" s="44" t="inlineStr">
        <is>
          <t>compliance</t>
        </is>
      </c>
      <c r="C611" s="44" t="inlineStr">
        <is>
          <t>medium</t>
        </is>
      </c>
      <c r="D611" s="44" t="inlineStr">
        <is>
          <t>ba</t>
        </is>
      </c>
      <c r="E611" s="45" t="n">
        <v>15.3</v>
      </c>
      <c r="F611" s="45" t="n">
        <v>20.4</v>
      </c>
    </row>
    <row r="612">
      <c r="A612" s="44" t="inlineStr">
        <is>
          <t>P130</t>
        </is>
      </c>
      <c r="B612" s="44" t="inlineStr">
        <is>
          <t>compliance</t>
        </is>
      </c>
      <c r="C612" s="44" t="inlineStr">
        <is>
          <t>medium</t>
        </is>
      </c>
      <c r="D612" s="44" t="inlineStr">
        <is>
          <t>be</t>
        </is>
      </c>
      <c r="E612" s="45" t="n">
        <v>61.2</v>
      </c>
      <c r="F612" s="45" t="n">
        <v>82.59999999999999</v>
      </c>
    </row>
    <row r="613">
      <c r="A613" s="44" t="inlineStr">
        <is>
          <t>P130</t>
        </is>
      </c>
      <c r="B613" s="44" t="inlineStr">
        <is>
          <t>compliance</t>
        </is>
      </c>
      <c r="C613" s="44" t="inlineStr">
        <is>
          <t>medium</t>
        </is>
      </c>
      <c r="D613" s="44" t="inlineStr">
        <is>
          <t>devops</t>
        </is>
      </c>
      <c r="E613" s="45" t="n">
        <v>22.9</v>
      </c>
      <c r="F613" s="45" t="n">
        <v>30</v>
      </c>
    </row>
    <row r="614">
      <c r="A614" s="44" t="inlineStr">
        <is>
          <t>P130</t>
        </is>
      </c>
      <c r="B614" s="44" t="inlineStr">
        <is>
          <t>compliance</t>
        </is>
      </c>
      <c r="C614" s="44" t="inlineStr">
        <is>
          <t>medium</t>
        </is>
      </c>
      <c r="D614" s="44" t="inlineStr">
        <is>
          <t>qa</t>
        </is>
      </c>
      <c r="E614" s="45" t="n">
        <v>22.9</v>
      </c>
      <c r="F614" s="45" t="n">
        <v>32.1</v>
      </c>
    </row>
    <row r="615">
      <c r="A615" s="44" t="inlineStr">
        <is>
          <t>P130</t>
        </is>
      </c>
      <c r="B615" s="44" t="inlineStr">
        <is>
          <t>admin_panel</t>
        </is>
      </c>
      <c r="C615" s="44" t="inlineStr">
        <is>
          <t>low</t>
        </is>
      </c>
      <c r="D615" s="44" t="inlineStr">
        <is>
          <t>ba</t>
        </is>
      </c>
      <c r="E615" s="45" t="n">
        <v>10.6</v>
      </c>
      <c r="F615" s="45" t="n">
        <v>14.7</v>
      </c>
    </row>
    <row r="616">
      <c r="A616" s="44" t="inlineStr">
        <is>
          <t>P130</t>
        </is>
      </c>
      <c r="B616" s="44" t="inlineStr">
        <is>
          <t>admin_panel</t>
        </is>
      </c>
      <c r="C616" s="44" t="inlineStr">
        <is>
          <t>low</t>
        </is>
      </c>
      <c r="D616" s="44" t="inlineStr">
        <is>
          <t>uiux</t>
        </is>
      </c>
      <c r="E616" s="45" t="n">
        <v>16</v>
      </c>
      <c r="F616" s="45" t="n">
        <v>24.4</v>
      </c>
    </row>
    <row r="617">
      <c r="A617" s="44" t="inlineStr">
        <is>
          <t>P130</t>
        </is>
      </c>
      <c r="B617" s="44" t="inlineStr">
        <is>
          <t>admin_panel</t>
        </is>
      </c>
      <c r="C617" s="44" t="inlineStr">
        <is>
          <t>low</t>
        </is>
      </c>
      <c r="D617" s="44" t="inlineStr">
        <is>
          <t>fe</t>
        </is>
      </c>
      <c r="E617" s="45" t="n">
        <v>53.2</v>
      </c>
      <c r="F617" s="45" t="n">
        <v>69.90000000000001</v>
      </c>
    </row>
    <row r="618">
      <c r="A618" s="44" t="inlineStr">
        <is>
          <t>P130</t>
        </is>
      </c>
      <c r="B618" s="44" t="inlineStr">
        <is>
          <t>admin_panel</t>
        </is>
      </c>
      <c r="C618" s="44" t="inlineStr">
        <is>
          <t>low</t>
        </is>
      </c>
      <c r="D618" s="44" t="inlineStr">
        <is>
          <t>be</t>
        </is>
      </c>
      <c r="E618" s="45" t="n">
        <v>47.9</v>
      </c>
      <c r="F618" s="45" t="n">
        <v>67.90000000000001</v>
      </c>
    </row>
    <row r="619">
      <c r="A619" s="44" t="inlineStr">
        <is>
          <t>P130</t>
        </is>
      </c>
      <c r="B619" s="44" t="inlineStr">
        <is>
          <t>admin_panel</t>
        </is>
      </c>
      <c r="C619" s="44" t="inlineStr">
        <is>
          <t>low</t>
        </is>
      </c>
      <c r="D619" s="44" t="inlineStr">
        <is>
          <t>qa</t>
        </is>
      </c>
      <c r="E619" s="45" t="n">
        <v>26.6</v>
      </c>
      <c r="F619" s="45" t="n">
        <v>32.5</v>
      </c>
    </row>
    <row r="620">
      <c r="A620" s="44" t="inlineStr">
        <is>
          <t>P130</t>
        </is>
      </c>
      <c r="B620" s="44" t="inlineStr">
        <is>
          <t>management</t>
        </is>
      </c>
      <c r="C620" s="44" t="inlineStr">
        <is>
          <t>medium</t>
        </is>
      </c>
      <c r="D620" s="44" t="inlineStr">
        <is>
          <t>pm</t>
        </is>
      </c>
      <c r="E620" s="45" t="n">
        <v>77.2</v>
      </c>
      <c r="F620" s="45" t="n">
        <v>77.5</v>
      </c>
    </row>
    <row r="621">
      <c r="A621" s="44" t="inlineStr">
        <is>
          <t>P130</t>
        </is>
      </c>
      <c r="B621" s="44" t="inlineStr">
        <is>
          <t>management</t>
        </is>
      </c>
      <c r="C621" s="44" t="inlineStr">
        <is>
          <t>medium</t>
        </is>
      </c>
      <c r="D621" s="44" t="inlineStr">
        <is>
          <t>lead</t>
        </is>
      </c>
      <c r="E621" s="45" t="n">
        <v>46.3</v>
      </c>
      <c r="F621" s="45" t="n">
        <v>47.9</v>
      </c>
    </row>
  </sheetData>
  <autoFilter ref="A1:F62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2026-10-25T22:49:57Z</dcterms:created>
  <dcterms:modified xmlns:dcterms="http://purl.org/dc/terms/" xmlns:xsi="http://www.w3.org/2001/XMLSchema-instance" xsi:type="dcterms:W3CDTF">2026-10-25T22:49:57Z</dcterms:modified>
</cp:coreProperties>
</file>